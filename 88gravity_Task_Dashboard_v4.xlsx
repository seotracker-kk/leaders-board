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oday's Focus" sheetId="2" state="visible" r:id="rId4"/>
    <sheet name="Task Tracker" sheetId="3" state="visible" r:id="rId5"/>
    <sheet name="By Client" sheetId="4" state="visible" r:id="rId6"/>
    <sheet name="By Assignee" sheetId="5" state="visible" r:id="rId7"/>
    <sheet name="Settings" sheetId="6" state="hidden" r:id="rId8"/>
  </sheets>
  <definedNames>
    <definedName function="false" hidden="true" localSheetId="2" name="_xlnm._FilterDatabase" vbProcedure="false">'Task Tracker'!$A$2:$K$202</definedName>
    <definedName function="false" hidden="false" name="AddedByList" vbProcedure="false">Settings!$F$1:$F$2</definedName>
    <definedName function="false" hidden="false" name="AssigneeList" vbProcedure="false">Settings!$A$1:$A$10</definedName>
    <definedName function="false" hidden="false" name="ClientList" vbProcedure="false">Settings!$B$1:$B$12</definedName>
    <definedName function="false" hidden="false" name="DeptList" vbProcedure="false">Settings!$C$1:$C$8</definedName>
    <definedName function="false" hidden="false" name="PriorityList" vbProcedure="false">Settings!$D$1:$D$3</definedName>
    <definedName function="false" hidden="false" name="StatusList" vbProcedure="false">Settings!$E$1:$E$5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<sst xmlns="http://schemas.openxmlformats.org/spreadsheetml/2006/main" count="311" uniqueCount="103">
  <si>
    <t xml:space="preserve">88gravity  |  Task Dashboard</t>
  </si>
  <si>
    <t xml:space="preserve">Total Tasks</t>
  </si>
  <si>
    <t xml:space="preserve">Overdue</t>
  </si>
  <si>
    <t xml:space="preserve">Due Today</t>
  </si>
  <si>
    <t xml:space="preserve">In Progress</t>
  </si>
  <si>
    <t xml:space="preserve">Pending</t>
  </si>
  <si>
    <t xml:space="preserve">Not Started</t>
  </si>
  <si>
    <t xml:space="preserve">Done</t>
  </si>
  <si>
    <t xml:space="preserve">  View by Client / Project</t>
  </si>
  <si>
    <t xml:space="preserve">Name</t>
  </si>
  <si>
    <t xml:space="preserve">Total</t>
  </si>
  <si>
    <t xml:space="preserve">Enout</t>
  </si>
  <si>
    <t xml:space="preserve">Tiaraa Kerala</t>
  </si>
  <si>
    <t xml:space="preserve">Tiaraq Hotels</t>
  </si>
  <si>
    <t xml:space="preserve">Colonelz</t>
  </si>
  <si>
    <t xml:space="preserve">Chalk Studio</t>
  </si>
  <si>
    <t xml:space="preserve">Catalyze</t>
  </si>
  <si>
    <t xml:space="preserve">Mobility Infotech</t>
  </si>
  <si>
    <t xml:space="preserve">SKIL Events</t>
  </si>
  <si>
    <t xml:space="preserve">Neon Cloud</t>
  </si>
  <si>
    <t xml:space="preserve">B2B Prospect</t>
  </si>
  <si>
    <t xml:space="preserve">Prospect</t>
  </si>
  <si>
    <t xml:space="preserve">Internal</t>
  </si>
  <si>
    <t xml:space="preserve">  View by Assignee</t>
  </si>
  <si>
    <t xml:space="preserve">Adarsh</t>
  </si>
  <si>
    <t xml:space="preserve">Kuldeep</t>
  </si>
  <si>
    <t xml:space="preserve">Priya</t>
  </si>
  <si>
    <t xml:space="preserve">Rahul</t>
  </si>
  <si>
    <t xml:space="preserve">SEO Team</t>
  </si>
  <si>
    <t xml:space="preserve">Content Team</t>
  </si>
  <si>
    <t xml:space="preserve">Sales Team</t>
  </si>
  <si>
    <t xml:space="preserve">Social Team</t>
  </si>
  <si>
    <t xml:space="preserve">Dev Team</t>
  </si>
  <si>
    <t xml:space="preserve">HR Team</t>
  </si>
  <si>
    <t xml:space="preserve">  View by Department</t>
  </si>
  <si>
    <t xml:space="preserve">Client</t>
  </si>
  <si>
    <t xml:space="preserve">Finance</t>
  </si>
  <si>
    <t xml:space="preserve">Sales</t>
  </si>
  <si>
    <t xml:space="preserve">HR</t>
  </si>
  <si>
    <t xml:space="preserve">Team</t>
  </si>
  <si>
    <t xml:space="preserve">Operations</t>
  </si>
  <si>
    <t xml:space="preserve">Legal</t>
  </si>
  <si>
    <t xml:space="preserve">Marketing</t>
  </si>
  <si>
    <t xml:space="preserve">Auto-populated — Overdue tasks + tasks due in the next 3 days (excludes Done). Open Task Tracker to update.</t>
  </si>
  <si>
    <t xml:space="preserve">#</t>
  </si>
  <si>
    <t xml:space="preserve">Department</t>
  </si>
  <si>
    <t xml:space="preserve">Task / Activity</t>
  </si>
  <si>
    <t xml:space="preserve">Assignee</t>
  </si>
  <si>
    <t xml:space="preserve">Priority</t>
  </si>
  <si>
    <t xml:space="preserve">Deadline</t>
  </si>
  <si>
    <t xml:space="preserve">Remarks</t>
  </si>
  <si>
    <t xml:space="preserve">Status</t>
  </si>
  <si>
    <t xml:space="preserve">Days Left</t>
  </si>
  <si>
    <t xml:space="preserve">88gravity  |  Delegation &amp; Task Tracker  v4</t>
  </si>
  <si>
    <t xml:space="preserve">Client / Project</t>
  </si>
  <si>
    <t xml:space="preserve">Added By</t>
  </si>
  <si>
    <t xml:space="preserve">Follow up on MSA and SOW</t>
  </si>
  <si>
    <t xml:space="preserve">High</t>
  </si>
  <si>
    <t xml:space="preserve">Sent proposal, awaiting signed docs</t>
  </si>
  <si>
    <t xml:space="preserve">AI roadmap review — feedback pending</t>
  </si>
  <si>
    <t xml:space="preserve">Shared on last call</t>
  </si>
  <si>
    <t xml:space="preserve">Doctor video interview script approval</t>
  </si>
  <si>
    <t xml:space="preserve">Script drafted, awaiting sign-off</t>
  </si>
  <si>
    <t xml:space="preserve">ORM escalation — negative review spike</t>
  </si>
  <si>
    <t xml:space="preserve">5 new negative reviews this week</t>
  </si>
  <si>
    <t xml:space="preserve">Content calendar — Q3 plan</t>
  </si>
  <si>
    <t xml:space="preserve">Medium</t>
  </si>
  <si>
    <t xml:space="preserve">Q3 calendar due</t>
  </si>
  <si>
    <t xml:space="preserve">Monthly SEO report deck</t>
  </si>
  <si>
    <t xml:space="preserve">Data done, deck pending</t>
  </si>
  <si>
    <t xml:space="preserve">Monthly report — PPC + SEO</t>
  </si>
  <si>
    <t xml:space="preserve">Combined report</t>
  </si>
  <si>
    <t xml:space="preserve">Annual offsite approval</t>
  </si>
  <si>
    <t xml:space="preserve">Low</t>
  </si>
  <si>
    <t xml:space="preserve">Budget approval pending</t>
  </si>
  <si>
    <t xml:space="preserve">Payment follow-up — Invoice #88G-041</t>
  </si>
  <si>
    <t xml:space="preserve">30 days outstanding</t>
  </si>
  <si>
    <t xml:space="preserve">Invoice follow-up — Oct retainer</t>
  </si>
  <si>
    <t xml:space="preserve">Second reminder needed</t>
  </si>
  <si>
    <t xml:space="preserve">Cost negotiation follow-up</t>
  </si>
  <si>
    <t xml:space="preserve">Last quote sent 3 days ago</t>
  </si>
  <si>
    <t xml:space="preserve">Proposal follow-up — HRMS Product</t>
  </si>
  <si>
    <t xml:space="preserve">Deck shared last week</t>
  </si>
  <si>
    <t xml:space="preserve">SEO audit deck — Montreal cleaning co</t>
  </si>
  <si>
    <t xml:space="preserve">Audit deck to be shared</t>
  </si>
  <si>
    <t xml:space="preserve">Apollo.io lead list — Q3 targets</t>
  </si>
  <si>
    <t xml:space="preserve">Tech HR Decision Makers segment</t>
  </si>
  <si>
    <t xml:space="preserve">Inside Sales Manager — shortlist CVs</t>
  </si>
  <si>
    <t xml:space="preserve">JD live on LinkedIn</t>
  </si>
  <si>
    <t xml:space="preserve">Growth Coordinator hire</t>
  </si>
  <si>
    <t xml:space="preserve">2 candidates shortlisted</t>
  </si>
  <si>
    <t xml:space="preserve">PIP 30-day check-in — Video Editor</t>
  </si>
  <si>
    <t xml:space="preserve">Scheduled for end of month</t>
  </si>
  <si>
    <t xml:space="preserve">R&amp;R framework rollout — comms</t>
  </si>
  <si>
    <t xml:space="preserve">Framework approved</t>
  </si>
  <si>
    <t xml:space="preserve">Zoho CRM integration status</t>
  </si>
  <si>
    <t xml:space="preserve">Dependent on API access from client</t>
  </si>
  <si>
    <t xml:space="preserve">LinkedIn lead gen campaign — wk2 review</t>
  </si>
  <si>
    <t xml:space="preserve">Week 2 metrics due</t>
  </si>
  <si>
    <t xml:space="preserve">88gravity  |  View by Client / Project</t>
  </si>
  <si>
    <t xml:space="preserve">Select Client ▾</t>
  </si>
  <si>
    <t xml:space="preserve">88gravity  |  View by Assignee / Team Member</t>
  </si>
  <si>
    <t xml:space="preserve">Select Assignee 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</si>
</sst>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4"/>
      <color rgb="FFC0392B"/>
      <name val="Arial"/>
      <family val="0"/>
      <charset val="1"/>
    </font>
    <font>
      <b val="true"/>
      <sz val="24"/>
      <color rgb="FF6B21A8"/>
      <name val="Arial"/>
      <family val="0"/>
      <charset val="1"/>
    </font>
    <font>
      <b val="true"/>
      <sz val="24"/>
      <color rgb="FF1A5276"/>
      <name val="Arial"/>
      <family val="0"/>
      <charset val="1"/>
    </font>
    <font>
      <b val="true"/>
      <sz val="24"/>
      <color rgb="FF7D5A00"/>
      <name val="Arial"/>
      <family val="0"/>
      <charset val="1"/>
    </font>
    <font>
      <b val="true"/>
      <sz val="24"/>
      <color rgb="FF333333"/>
      <name val="Arial"/>
      <family val="0"/>
      <charset val="1"/>
    </font>
    <font>
      <b val="true"/>
      <sz val="24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b val="true"/>
      <sz val="11"/>
      <color rgb="FF0F346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7F9FC"/>
        <bgColor rgb="FFF0F4F8"/>
      </patternFill>
    </fill>
    <fill>
      <patternFill patternType="solid">
        <fgColor rgb="FF2D3748"/>
        <bgColor rgb="FF333333"/>
      </patternFill>
    </fill>
    <fill>
      <patternFill patternType="solid">
        <fgColor rgb="FFFFE0E0"/>
        <bgColor rgb="FFF2F3F4"/>
      </patternFill>
    </fill>
    <fill>
      <patternFill patternType="solid">
        <fgColor rgb="FFE8D5FF"/>
        <bgColor rgb="FFFFE0E0"/>
      </patternFill>
    </fill>
    <fill>
      <patternFill patternType="solid">
        <fgColor rgb="FFD6EAF8"/>
        <bgColor rgb="FFD5F5E3"/>
      </patternFill>
    </fill>
    <fill>
      <patternFill patternType="solid">
        <fgColor rgb="FFFFF8DC"/>
        <bgColor rgb="FFFFF5F5"/>
      </patternFill>
    </fill>
    <fill>
      <patternFill patternType="solid">
        <fgColor rgb="FFF2F3F4"/>
        <bgColor rgb="FFF0F4F8"/>
      </patternFill>
    </fill>
    <fill>
      <patternFill patternType="solid">
        <fgColor rgb="FFD5F5E3"/>
        <bgColor rgb="FFD6EAF8"/>
      </patternFill>
    </fill>
    <fill>
      <patternFill patternType="solid">
        <fgColor rgb="FF0F3460"/>
        <bgColor rgb="FF2D3748"/>
      </patternFill>
    </fill>
    <fill>
      <patternFill patternType="solid">
        <fgColor rgb="FFFFFFFF"/>
        <bgColor rgb="FFF7F9FC"/>
      </patternFill>
    </fill>
    <fill>
      <patternFill patternType="solid">
        <fgColor rgb="FFF0F4F8"/>
        <bgColor rgb="FFF2F3F4"/>
      </patternFill>
    </fill>
    <fill>
      <patternFill patternType="solid">
        <fgColor rgb="FFE94560"/>
        <bgColor rgb="FFC0392B"/>
      </patternFill>
    </fill>
    <fill>
      <patternFill patternType="solid">
        <fgColor rgb="FFFFF5F5"/>
        <bgColor rgb="FFF7F9FC"/>
      </patternFill>
    </fill>
    <fill>
      <patternFill patternType="solid">
        <fgColor rgb="FFEBF5FB"/>
        <bgColor rgb="FFF0F4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 diagonalUp="false" diagonalDown="false">
      <left style="medium">
        <color rgb="FF0F3460"/>
      </left>
      <right/>
      <top style="medium">
        <color rgb="FF0F3460"/>
      </top>
      <bottom style="medium">
        <color rgb="FF0F34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C0392B"/>
      </font>
      <fill>
        <patternFill>
          <bgColor rgb="FFFFE0E0"/>
        </patternFill>
      </fill>
    </dxf>
    <dxf>
      <font>
        <name val="Arial"/>
        <charset val="1"/>
        <family val="0"/>
        <b val="1"/>
        <color rgb="FF7D5A00"/>
      </font>
      <fill>
        <patternFill>
          <bgColor rgb="FFFFF8DC"/>
        </patternFill>
      </fill>
    </dxf>
    <dxf>
      <font>
        <name val="Arial"/>
        <charset val="1"/>
        <family val="0"/>
        <b val="1"/>
        <color rgb="FF1A5276"/>
      </font>
      <fill>
        <patternFill>
          <bgColor rgb="FFD6EAF8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566573"/>
          <bgColor rgb="FF000000"/>
        </patternFill>
      </fill>
    </dxf>
    <dxf>
      <fill>
        <patternFill patternType="solid">
          <fgColor rgb="FF7D5A0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566573"/>
      </font>
      <fill>
        <patternFill>
          <bgColor rgb="FFF2F3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9FC"/>
      <rgbColor rgb="FFFF00FF"/>
      <rgbColor rgb="FF00FFFF"/>
      <rgbColor rgb="FF800000"/>
      <rgbColor rgb="FF008000"/>
      <rgbColor rgb="FF000080"/>
      <rgbColor rgb="FF7D5A00"/>
      <rgbColor rgb="FF6B21A8"/>
      <rgbColor rgb="FF1E8449"/>
      <rgbColor rgb="FFCCCCCC"/>
      <rgbColor rgb="FF888888"/>
      <rgbColor rgb="FF9999FF"/>
      <rgbColor rgb="FF555555"/>
      <rgbColor rgb="FFFFF8DC"/>
      <rgbColor rgb="FFD6EAF8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EBF5FB"/>
      <rgbColor rgb="FFD5F5E3"/>
      <rgbColor rgb="FFFFF5F5"/>
      <rgbColor rgb="FFE8D5FF"/>
      <rgbColor rgb="FFF2F3F4"/>
      <rgbColor rgb="FFF0F4F8"/>
      <rgbColor rgb="FFFFE0E0"/>
      <rgbColor rgb="FF3366FF"/>
      <rgbColor rgb="FF33CCCC"/>
      <rgbColor rgb="FF99CC00"/>
      <rgbColor rgb="FFFFCC00"/>
      <rgbColor rgb="FFFF9900"/>
      <rgbColor rgb="FFE94560"/>
      <rgbColor rgb="FF566573"/>
      <rgbColor rgb="FFAAAAAA"/>
      <rgbColor rgb="FF0F3460"/>
      <rgbColor rgb="FF28A745"/>
      <rgbColor rgb="FF1A1A2E"/>
      <rgbColor rgb="FF2D3748"/>
      <rgbColor rgb="FFC0392B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N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9.75" hidden="false" customHeight="true" outlineLevel="0" collapsed="false"/>
    <row r="3" customFormat="false" ht="15.75" hidden="false" customHeight="tru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  <c r="K3" s="2" t="s">
        <v>6</v>
      </c>
      <c r="L3" s="2"/>
      <c r="M3" s="2" t="s">
        <v>7</v>
      </c>
      <c r="N3" s="2"/>
    </row>
    <row r="4" customFormat="false" ht="42" hidden="false" customHeight="true" outlineLevel="0" collapsed="false">
      <c r="A4" s="3" t="n">
        <f aca="false">COUNTA('Task Tracker'!C3:C202)</f>
        <v>20</v>
      </c>
      <c r="B4" s="3"/>
      <c r="C4" s="4" t="n">
        <f aca="false">COUNTIF('Task Tracker'!I3:I202,"Overdue")</f>
        <v>2</v>
      </c>
      <c r="D4" s="4"/>
      <c r="E4" s="5" t="n">
        <f aca="true">COUNTIFS('Task Tracker'!G3:G202,TODAY(),'Task Tracker'!I3:I202,"&lt;&gt;Done")</f>
        <v>2</v>
      </c>
      <c r="F4" s="5"/>
      <c r="G4" s="6" t="n">
        <f aca="false">COUNTIF('Task Tracker'!I3:I202,"In Progress")</f>
        <v>6</v>
      </c>
      <c r="H4" s="6"/>
      <c r="I4" s="7" t="n">
        <f aca="false">COUNTIF('Task Tracker'!I3:I202,"Pending")</f>
        <v>6</v>
      </c>
      <c r="J4" s="7"/>
      <c r="K4" s="8" t="n">
        <f aca="false">COUNTIF('Task Tracker'!I3:I202,"Not Started")</f>
        <v>6</v>
      </c>
      <c r="L4" s="8"/>
      <c r="M4" s="9" t="n">
        <f aca="false">COUNTIF('Task Tracker'!I3:I202,"Done")</f>
        <v>0</v>
      </c>
      <c r="N4" s="9"/>
    </row>
    <row r="5" customFormat="false" ht="15.75" hidden="false" customHeight="true" outlineLevel="0" collapsed="false">
      <c r="A5" s="10"/>
      <c r="B5" s="10"/>
      <c r="C5" s="11"/>
      <c r="D5" s="11"/>
      <c r="E5" s="12"/>
      <c r="F5" s="12"/>
      <c r="G5" s="13"/>
      <c r="H5" s="13"/>
      <c r="I5" s="14"/>
      <c r="J5" s="14"/>
      <c r="K5" s="15"/>
      <c r="L5" s="15"/>
      <c r="M5" s="16"/>
      <c r="N5" s="16"/>
    </row>
    <row r="6" customFormat="false" ht="12" hidden="false" customHeight="true" outlineLevel="0" collapsed="false"/>
    <row r="7" customFormat="false" ht="24" hidden="false" customHeight="true" outlineLevel="0" collapsed="false">
      <c r="A7" s="17" t="s">
        <v>8</v>
      </c>
      <c r="B7" s="17"/>
      <c r="C7" s="17"/>
      <c r="D7" s="17"/>
      <c r="E7" s="17"/>
      <c r="F7" s="17"/>
      <c r="G7" s="17"/>
    </row>
    <row r="8" customFormat="false" ht="19.5" hidden="false" customHeight="true" outlineLevel="0" collapsed="false">
      <c r="A8" s="18" t="s">
        <v>9</v>
      </c>
      <c r="B8" s="18" t="s">
        <v>2</v>
      </c>
      <c r="C8" s="18" t="s">
        <v>4</v>
      </c>
      <c r="D8" s="18" t="s">
        <v>5</v>
      </c>
      <c r="E8" s="18" t="s">
        <v>6</v>
      </c>
      <c r="F8" s="18" t="s">
        <v>7</v>
      </c>
      <c r="G8" s="18" t="s">
        <v>10</v>
      </c>
    </row>
    <row r="9" customFormat="false" ht="19.5" hidden="false" customHeight="true" outlineLevel="0" collapsed="false">
      <c r="A9" s="19" t="s">
        <v>11</v>
      </c>
      <c r="B9" s="20" t="n">
        <f aca="false">COUNTIFS('Task Tracker'!E3:E202,"Enout",'Task Tracker'!I3:I202,"Overdue")</f>
        <v>0</v>
      </c>
      <c r="C9" s="20" t="n">
        <f aca="false">COUNTIFS('Task Tracker'!E3:E202,"Enout",'Task Tracker'!I3:I202,"In Progress")</f>
        <v>0</v>
      </c>
      <c r="D9" s="20" t="n">
        <f aca="false">COUNTIFS('Task Tracker'!E3:E202,"Enout",'Task Tracker'!I3:I202,"Pending")</f>
        <v>2</v>
      </c>
      <c r="E9" s="20" t="n">
        <f aca="false">COUNTIFS('Task Tracker'!E3:E202,"Enout",'Task Tracker'!I3:I202,"Not Started")</f>
        <v>0</v>
      </c>
      <c r="F9" s="20" t="n">
        <f aca="false">COUNTIFS('Task Tracker'!E3:E202,"Enout",'Task Tracker'!I3:I202,"Done")</f>
        <v>0</v>
      </c>
      <c r="G9" s="21" t="n">
        <f aca="false">COUNTIF('Task Tracker'!E3:E202,"Enout")</f>
        <v>2</v>
      </c>
    </row>
    <row r="10" customFormat="false" ht="19.5" hidden="false" customHeight="true" outlineLevel="0" collapsed="false">
      <c r="A10" s="22" t="s">
        <v>12</v>
      </c>
      <c r="B10" s="23" t="n">
        <f aca="false">COUNTIFS('Task Tracker'!E3:E202,"Tiaraa Kerala",'Task Tracker'!I3:I202,"Overdue")</f>
        <v>0</v>
      </c>
      <c r="C10" s="23" t="n">
        <f aca="false">COUNTIFS('Task Tracker'!E3:E202,"Tiaraa Kerala",'Task Tracker'!I3:I202,"In Progress")</f>
        <v>1</v>
      </c>
      <c r="D10" s="23" t="n">
        <f aca="false">COUNTIFS('Task Tracker'!E3:E202,"Tiaraa Kerala",'Task Tracker'!I3:I202,"Pending")</f>
        <v>0</v>
      </c>
      <c r="E10" s="23" t="n">
        <f aca="false">COUNTIFS('Task Tracker'!E3:E202,"Tiaraa Kerala",'Task Tracker'!I3:I202,"Not Started")</f>
        <v>0</v>
      </c>
      <c r="F10" s="23" t="n">
        <f aca="false">COUNTIFS('Task Tracker'!E3:E202,"Tiaraa Kerala",'Task Tracker'!I3:I202,"Done")</f>
        <v>0</v>
      </c>
      <c r="G10" s="24" t="n">
        <f aca="false">COUNTIF('Task Tracker'!E3:E202,"Tiaraa Kerala")</f>
        <v>1</v>
      </c>
    </row>
    <row r="11" customFormat="false" ht="19.5" hidden="false" customHeight="true" outlineLevel="0" collapsed="false">
      <c r="A11" s="19" t="s">
        <v>13</v>
      </c>
      <c r="B11" s="20" t="n">
        <f aca="false">COUNTIFS('Task Tracker'!E3:E202,"Tiaraq Hotels",'Task Tracker'!I3:I202,"Overdue")</f>
        <v>0</v>
      </c>
      <c r="C11" s="20" t="n">
        <f aca="false">COUNTIFS('Task Tracker'!E3:E202,"Tiaraq Hotels",'Task Tracker'!I3:I202,"In Progress")</f>
        <v>0</v>
      </c>
      <c r="D11" s="20" t="n">
        <f aca="false">COUNTIFS('Task Tracker'!E3:E202,"Tiaraq Hotels",'Task Tracker'!I3:I202,"Pending")</f>
        <v>0</v>
      </c>
      <c r="E11" s="20" t="n">
        <f aca="false">COUNTIFS('Task Tracker'!E3:E202,"Tiaraq Hotels",'Task Tracker'!I3:I202,"Not Started")</f>
        <v>1</v>
      </c>
      <c r="F11" s="20" t="n">
        <f aca="false">COUNTIFS('Task Tracker'!E3:E202,"Tiaraq Hotels",'Task Tracker'!I3:I202,"Done")</f>
        <v>0</v>
      </c>
      <c r="G11" s="21" t="n">
        <f aca="false">COUNTIF('Task Tracker'!E3:E202,"Tiaraq Hotels")</f>
        <v>1</v>
      </c>
    </row>
    <row r="12" customFormat="false" ht="19.5" hidden="false" customHeight="true" outlineLevel="0" collapsed="false">
      <c r="A12" s="22" t="s">
        <v>14</v>
      </c>
      <c r="B12" s="23" t="n">
        <f aca="false">COUNTIFS('Task Tracker'!E3:E202,"Colonelz",'Task Tracker'!I3:I202,"Overdue")</f>
        <v>1</v>
      </c>
      <c r="C12" s="23" t="n">
        <f aca="false">COUNTIFS('Task Tracker'!E3:E202,"Colonelz",'Task Tracker'!I3:I202,"In Progress")</f>
        <v>0</v>
      </c>
      <c r="D12" s="23" t="n">
        <f aca="false">COUNTIFS('Task Tracker'!E3:E202,"Colonelz",'Task Tracker'!I3:I202,"Pending")</f>
        <v>1</v>
      </c>
      <c r="E12" s="23" t="n">
        <f aca="false">COUNTIFS('Task Tracker'!E3:E202,"Colonelz",'Task Tracker'!I3:I202,"Not Started")</f>
        <v>0</v>
      </c>
      <c r="F12" s="23" t="n">
        <f aca="false">COUNTIFS('Task Tracker'!E3:E202,"Colonelz",'Task Tracker'!I3:I202,"Done")</f>
        <v>0</v>
      </c>
      <c r="G12" s="24" t="n">
        <f aca="false">COUNTIF('Task Tracker'!E3:E202,"Colonelz")</f>
        <v>2</v>
      </c>
    </row>
    <row r="13" customFormat="false" ht="19.5" hidden="false" customHeight="true" outlineLevel="0" collapsed="false">
      <c r="A13" s="19" t="s">
        <v>15</v>
      </c>
      <c r="B13" s="20" t="n">
        <f aca="false">COUNTIFS('Task Tracker'!E3:E202,"Chalk Studio",'Task Tracker'!I3:I202,"Overdue")</f>
        <v>0</v>
      </c>
      <c r="C13" s="20" t="n">
        <f aca="false">COUNTIFS('Task Tracker'!E3:E202,"Chalk Studio",'Task Tracker'!I3:I202,"In Progress")</f>
        <v>1</v>
      </c>
      <c r="D13" s="20" t="n">
        <f aca="false">COUNTIFS('Task Tracker'!E3:E202,"Chalk Studio",'Task Tracker'!I3:I202,"Pending")</f>
        <v>0</v>
      </c>
      <c r="E13" s="20" t="n">
        <f aca="false">COUNTIFS('Task Tracker'!E3:E202,"Chalk Studio",'Task Tracker'!I3:I202,"Not Started")</f>
        <v>0</v>
      </c>
      <c r="F13" s="20" t="n">
        <f aca="false">COUNTIFS('Task Tracker'!E3:E202,"Chalk Studio",'Task Tracker'!I3:I202,"Done")</f>
        <v>0</v>
      </c>
      <c r="G13" s="21" t="n">
        <f aca="false">COUNTIF('Task Tracker'!E3:E202,"Chalk Studio")</f>
        <v>1</v>
      </c>
    </row>
    <row r="14" customFormat="false" ht="19.5" hidden="false" customHeight="true" outlineLevel="0" collapsed="false">
      <c r="A14" s="22" t="s">
        <v>16</v>
      </c>
      <c r="B14" s="23" t="n">
        <f aca="false">COUNTIFS('Task Tracker'!E3:E202,"Catalyze",'Task Tracker'!I3:I202,"Overdue")</f>
        <v>1</v>
      </c>
      <c r="C14" s="23" t="n">
        <f aca="false">COUNTIFS('Task Tracker'!E3:E202,"Catalyze",'Task Tracker'!I3:I202,"In Progress")</f>
        <v>1</v>
      </c>
      <c r="D14" s="23" t="n">
        <f aca="false">COUNTIFS('Task Tracker'!E3:E202,"Catalyze",'Task Tracker'!I3:I202,"Pending")</f>
        <v>0</v>
      </c>
      <c r="E14" s="23" t="n">
        <f aca="false">COUNTIFS('Task Tracker'!E3:E202,"Catalyze",'Task Tracker'!I3:I202,"Not Started")</f>
        <v>0</v>
      </c>
      <c r="F14" s="23" t="n">
        <f aca="false">COUNTIFS('Task Tracker'!E3:E202,"Catalyze",'Task Tracker'!I3:I202,"Done")</f>
        <v>0</v>
      </c>
      <c r="G14" s="24" t="n">
        <f aca="false">COUNTIF('Task Tracker'!E3:E202,"Catalyze")</f>
        <v>2</v>
      </c>
    </row>
    <row r="15" customFormat="false" ht="19.5" hidden="false" customHeight="true" outlineLevel="0" collapsed="false">
      <c r="A15" s="19" t="s">
        <v>17</v>
      </c>
      <c r="B15" s="20" t="n">
        <f aca="false">COUNTIFS('Task Tracker'!E3:E202,"Mobility Infotech",'Task Tracker'!I3:I202,"Overdue")</f>
        <v>0</v>
      </c>
      <c r="C15" s="20" t="n">
        <f aca="false">COUNTIFS('Task Tracker'!E3:E202,"Mobility Infotech",'Task Tracker'!I3:I202,"In Progress")</f>
        <v>1</v>
      </c>
      <c r="D15" s="20" t="n">
        <f aca="false">COUNTIFS('Task Tracker'!E3:E202,"Mobility Infotech",'Task Tracker'!I3:I202,"Pending")</f>
        <v>0</v>
      </c>
      <c r="E15" s="20" t="n">
        <f aca="false">COUNTIFS('Task Tracker'!E3:E202,"Mobility Infotech",'Task Tracker'!I3:I202,"Not Started")</f>
        <v>0</v>
      </c>
      <c r="F15" s="20" t="n">
        <f aca="false">COUNTIFS('Task Tracker'!E3:E202,"Mobility Infotech",'Task Tracker'!I3:I202,"Done")</f>
        <v>0</v>
      </c>
      <c r="G15" s="21" t="n">
        <f aca="false">COUNTIF('Task Tracker'!E3:E202,"Mobility Infotech")</f>
        <v>1</v>
      </c>
    </row>
    <row r="16" customFormat="false" ht="19.5" hidden="false" customHeight="true" outlineLevel="0" collapsed="false">
      <c r="A16" s="22" t="s">
        <v>18</v>
      </c>
      <c r="B16" s="23" t="n">
        <f aca="false">COUNTIFS('Task Tracker'!E3:E202,"SKIL Events",'Task Tracker'!I3:I202,"Overdue")</f>
        <v>0</v>
      </c>
      <c r="C16" s="23" t="n">
        <f aca="false">COUNTIFS('Task Tracker'!E3:E202,"SKIL Events",'Task Tracker'!I3:I202,"In Progress")</f>
        <v>0</v>
      </c>
      <c r="D16" s="23" t="n">
        <f aca="false">COUNTIFS('Task Tracker'!E3:E202,"SKIL Events",'Task Tracker'!I3:I202,"Pending")</f>
        <v>0</v>
      </c>
      <c r="E16" s="23" t="n">
        <f aca="false">COUNTIFS('Task Tracker'!E3:E202,"SKIL Events",'Task Tracker'!I3:I202,"Not Started")</f>
        <v>1</v>
      </c>
      <c r="F16" s="23" t="n">
        <f aca="false">COUNTIFS('Task Tracker'!E3:E202,"SKIL Events",'Task Tracker'!I3:I202,"Done")</f>
        <v>0</v>
      </c>
      <c r="G16" s="24" t="n">
        <f aca="false">COUNTIF('Task Tracker'!E3:E202,"SKIL Events")</f>
        <v>1</v>
      </c>
    </row>
    <row r="17" customFormat="false" ht="19.5" hidden="false" customHeight="true" outlineLevel="0" collapsed="false">
      <c r="A17" s="19" t="s">
        <v>19</v>
      </c>
      <c r="B17" s="20" t="n">
        <f aca="false">COUNTIFS('Task Tracker'!E3:E202,"Neon Cloud",'Task Tracker'!I3:I202,"Overdue")</f>
        <v>0</v>
      </c>
      <c r="C17" s="20" t="n">
        <f aca="false">COUNTIFS('Task Tracker'!E3:E202,"Neon Cloud",'Task Tracker'!I3:I202,"In Progress")</f>
        <v>0</v>
      </c>
      <c r="D17" s="20" t="n">
        <f aca="false">COUNTIFS('Task Tracker'!E3:E202,"Neon Cloud",'Task Tracker'!I3:I202,"Pending")</f>
        <v>1</v>
      </c>
      <c r="E17" s="20" t="n">
        <f aca="false">COUNTIFS('Task Tracker'!E3:E202,"Neon Cloud",'Task Tracker'!I3:I202,"Not Started")</f>
        <v>0</v>
      </c>
      <c r="F17" s="20" t="n">
        <f aca="false">COUNTIFS('Task Tracker'!E3:E202,"Neon Cloud",'Task Tracker'!I3:I202,"Done")</f>
        <v>0</v>
      </c>
      <c r="G17" s="21" t="n">
        <f aca="false">COUNTIF('Task Tracker'!E3:E202,"Neon Cloud")</f>
        <v>1</v>
      </c>
    </row>
    <row r="18" customFormat="false" ht="19.5" hidden="false" customHeight="true" outlineLevel="0" collapsed="false">
      <c r="A18" s="22" t="s">
        <v>20</v>
      </c>
      <c r="B18" s="23" t="n">
        <f aca="false">COUNTIFS('Task Tracker'!E3:E202,"B2B Prospect",'Task Tracker'!I3:I202,"Overdue")</f>
        <v>0</v>
      </c>
      <c r="C18" s="23" t="n">
        <f aca="false">COUNTIFS('Task Tracker'!E3:E202,"B2B Prospect",'Task Tracker'!I3:I202,"In Progress")</f>
        <v>0</v>
      </c>
      <c r="D18" s="23" t="n">
        <f aca="false">COUNTIFS('Task Tracker'!E3:E202,"B2B Prospect",'Task Tracker'!I3:I202,"Pending")</f>
        <v>1</v>
      </c>
      <c r="E18" s="23" t="n">
        <f aca="false">COUNTIFS('Task Tracker'!E3:E202,"B2B Prospect",'Task Tracker'!I3:I202,"Not Started")</f>
        <v>0</v>
      </c>
      <c r="F18" s="23" t="n">
        <f aca="false">COUNTIFS('Task Tracker'!E3:E202,"B2B Prospect",'Task Tracker'!I3:I202,"Done")</f>
        <v>0</v>
      </c>
      <c r="G18" s="24" t="n">
        <f aca="false">COUNTIF('Task Tracker'!E3:E202,"B2B Prospect")</f>
        <v>1</v>
      </c>
    </row>
    <row r="19" customFormat="false" ht="19.5" hidden="false" customHeight="true" outlineLevel="0" collapsed="false">
      <c r="A19" s="19" t="s">
        <v>21</v>
      </c>
      <c r="B19" s="20" t="n">
        <f aca="false">COUNTIFS('Task Tracker'!E3:E202,"Prospect",'Task Tracker'!I3:I202,"Overdue")</f>
        <v>0</v>
      </c>
      <c r="C19" s="20" t="n">
        <f aca="false">COUNTIFS('Task Tracker'!E3:E202,"Prospect",'Task Tracker'!I3:I202,"In Progress")</f>
        <v>0</v>
      </c>
      <c r="D19" s="20" t="n">
        <f aca="false">COUNTIFS('Task Tracker'!E3:E202,"Prospect",'Task Tracker'!I3:I202,"Pending")</f>
        <v>0</v>
      </c>
      <c r="E19" s="20" t="n">
        <f aca="false">COUNTIFS('Task Tracker'!E3:E202,"Prospect",'Task Tracker'!I3:I202,"Not Started")</f>
        <v>1</v>
      </c>
      <c r="F19" s="20" t="n">
        <f aca="false">COUNTIFS('Task Tracker'!E3:E202,"Prospect",'Task Tracker'!I3:I202,"Done")</f>
        <v>0</v>
      </c>
      <c r="G19" s="21" t="n">
        <f aca="false">COUNTIF('Task Tracker'!E3:E202,"Prospect")</f>
        <v>1</v>
      </c>
    </row>
    <row r="20" customFormat="false" ht="19.5" hidden="false" customHeight="true" outlineLevel="0" collapsed="false">
      <c r="A20" s="22" t="s">
        <v>22</v>
      </c>
      <c r="B20" s="23" t="n">
        <f aca="false">COUNTIFS('Task Tracker'!E3:E202,"Internal",'Task Tracker'!I3:I202,"Overdue")</f>
        <v>0</v>
      </c>
      <c r="C20" s="23" t="n">
        <f aca="false">COUNTIFS('Task Tracker'!E3:E202,"Internal",'Task Tracker'!I3:I202,"In Progress")</f>
        <v>2</v>
      </c>
      <c r="D20" s="23" t="n">
        <f aca="false">COUNTIFS('Task Tracker'!E3:E202,"Internal",'Task Tracker'!I3:I202,"Pending")</f>
        <v>1</v>
      </c>
      <c r="E20" s="23" t="n">
        <f aca="false">COUNTIFS('Task Tracker'!E3:E202,"Internal",'Task Tracker'!I3:I202,"Not Started")</f>
        <v>3</v>
      </c>
      <c r="F20" s="23" t="n">
        <f aca="false">COUNTIFS('Task Tracker'!E3:E202,"Internal",'Task Tracker'!I3:I202,"Done")</f>
        <v>0</v>
      </c>
      <c r="G20" s="24" t="n">
        <f aca="false">COUNTIF('Task Tracker'!E3:E202,"Internal")</f>
        <v>6</v>
      </c>
    </row>
    <row r="22" customFormat="false" ht="7.5" hidden="false" customHeight="true" outlineLevel="0" collapsed="false"/>
    <row r="23" customFormat="false" ht="24" hidden="false" customHeight="true" outlineLevel="0" collapsed="false">
      <c r="A23" s="17" t="s">
        <v>23</v>
      </c>
      <c r="B23" s="17"/>
      <c r="C23" s="17"/>
      <c r="D23" s="17"/>
      <c r="E23" s="17"/>
      <c r="F23" s="17"/>
      <c r="G23" s="17"/>
    </row>
    <row r="24" customFormat="false" ht="19.5" hidden="false" customHeight="true" outlineLevel="0" collapsed="false">
      <c r="A24" s="18" t="s">
        <v>9</v>
      </c>
      <c r="B24" s="18" t="s">
        <v>2</v>
      </c>
      <c r="C24" s="18" t="s">
        <v>4</v>
      </c>
      <c r="D24" s="18" t="s">
        <v>5</v>
      </c>
      <c r="E24" s="18" t="s">
        <v>6</v>
      </c>
      <c r="F24" s="18" t="s">
        <v>7</v>
      </c>
      <c r="G24" s="18" t="s">
        <v>10</v>
      </c>
    </row>
    <row r="25" customFormat="false" ht="19.5" hidden="false" customHeight="true" outlineLevel="0" collapsed="false">
      <c r="A25" s="19" t="s">
        <v>24</v>
      </c>
      <c r="B25" s="20" t="n">
        <f aca="false">COUNTIFS('Task Tracker'!D3:D202,"Adarsh",'Task Tracker'!I3:I202,"Overdue")</f>
        <v>2</v>
      </c>
      <c r="C25" s="20" t="n">
        <f aca="false">COUNTIFS('Task Tracker'!D3:D202,"Adarsh",'Task Tracker'!I3:I202,"In Progress")</f>
        <v>0</v>
      </c>
      <c r="D25" s="20" t="n">
        <f aca="false">COUNTIFS('Task Tracker'!D3:D202,"Adarsh",'Task Tracker'!I3:I202,"Pending")</f>
        <v>4</v>
      </c>
      <c r="E25" s="20" t="n">
        <f aca="false">COUNTIFS('Task Tracker'!D3:D202,"Adarsh",'Task Tracker'!I3:I202,"Not Started")</f>
        <v>0</v>
      </c>
      <c r="F25" s="20" t="n">
        <f aca="false">COUNTIFS('Task Tracker'!D3:D202,"Adarsh",'Task Tracker'!I3:I202,"Done")</f>
        <v>0</v>
      </c>
      <c r="G25" s="21" t="n">
        <f aca="false">COUNTIF('Task Tracker'!D3:D202,"Adarsh")</f>
        <v>6</v>
      </c>
    </row>
    <row r="26" customFormat="false" ht="19.5" hidden="false" customHeight="true" outlineLevel="0" collapsed="false">
      <c r="A26" s="22" t="s">
        <v>25</v>
      </c>
      <c r="B26" s="23" t="n">
        <f aca="false">COUNTIFS('Task Tracker'!D3:D202,"Kuldeep",'Task Tracker'!I3:I202,"Overdue")</f>
        <v>0</v>
      </c>
      <c r="C26" s="23" t="n">
        <f aca="false">COUNTIFS('Task Tracker'!D3:D202,"Kuldeep",'Task Tracker'!I3:I202,"In Progress")</f>
        <v>0</v>
      </c>
      <c r="D26" s="23" t="n">
        <f aca="false">COUNTIFS('Task Tracker'!D3:D202,"Kuldeep",'Task Tracker'!I3:I202,"Pending")</f>
        <v>0</v>
      </c>
      <c r="E26" s="23" t="n">
        <f aca="false">COUNTIFS('Task Tracker'!D3:D202,"Kuldeep",'Task Tracker'!I3:I202,"Not Started")</f>
        <v>0</v>
      </c>
      <c r="F26" s="23" t="n">
        <f aca="false">COUNTIFS('Task Tracker'!D3:D202,"Kuldeep",'Task Tracker'!I3:I202,"Done")</f>
        <v>0</v>
      </c>
      <c r="G26" s="24" t="n">
        <f aca="false">COUNTIF('Task Tracker'!D3:D202,"Kuldeep")</f>
        <v>0</v>
      </c>
    </row>
    <row r="27" customFormat="false" ht="19.5" hidden="false" customHeight="true" outlineLevel="0" collapsed="false">
      <c r="A27" s="19" t="s">
        <v>26</v>
      </c>
      <c r="B27" s="20" t="n">
        <f aca="false">COUNTIFS('Task Tracker'!D3:D202,"Priya",'Task Tracker'!I3:I202,"Overdue")</f>
        <v>0</v>
      </c>
      <c r="C27" s="20" t="n">
        <f aca="false">COUNTIFS('Task Tracker'!D3:D202,"Priya",'Task Tracker'!I3:I202,"In Progress")</f>
        <v>1</v>
      </c>
      <c r="D27" s="20" t="n">
        <f aca="false">COUNTIFS('Task Tracker'!D3:D202,"Priya",'Task Tracker'!I3:I202,"Pending")</f>
        <v>1</v>
      </c>
      <c r="E27" s="20" t="n">
        <f aca="false">COUNTIFS('Task Tracker'!D3:D202,"Priya",'Task Tracker'!I3:I202,"Not Started")</f>
        <v>1</v>
      </c>
      <c r="F27" s="20" t="n">
        <f aca="false">COUNTIFS('Task Tracker'!D3:D202,"Priya",'Task Tracker'!I3:I202,"Done")</f>
        <v>0</v>
      </c>
      <c r="G27" s="21" t="n">
        <f aca="false">COUNTIF('Task Tracker'!D3:D202,"Priya")</f>
        <v>3</v>
      </c>
    </row>
    <row r="28" customFormat="false" ht="19.5" hidden="false" customHeight="true" outlineLevel="0" collapsed="false">
      <c r="A28" s="22" t="s">
        <v>27</v>
      </c>
      <c r="B28" s="23" t="n">
        <f aca="false">COUNTIFS('Task Tracker'!D3:D202,"Rahul",'Task Tracker'!I3:I202,"Overdue")</f>
        <v>0</v>
      </c>
      <c r="C28" s="23" t="n">
        <f aca="false">COUNTIFS('Task Tracker'!D3:D202,"Rahul",'Task Tracker'!I3:I202,"In Progress")</f>
        <v>2</v>
      </c>
      <c r="D28" s="23" t="n">
        <f aca="false">COUNTIFS('Task Tracker'!D3:D202,"Rahul",'Task Tracker'!I3:I202,"Pending")</f>
        <v>0</v>
      </c>
      <c r="E28" s="23" t="n">
        <f aca="false">COUNTIFS('Task Tracker'!D3:D202,"Rahul",'Task Tracker'!I3:I202,"Not Started")</f>
        <v>2</v>
      </c>
      <c r="F28" s="23" t="n">
        <f aca="false">COUNTIFS('Task Tracker'!D3:D202,"Rahul",'Task Tracker'!I3:I202,"Done")</f>
        <v>0</v>
      </c>
      <c r="G28" s="24" t="n">
        <f aca="false">COUNTIF('Task Tracker'!D3:D202,"Rahul")</f>
        <v>4</v>
      </c>
    </row>
    <row r="29" customFormat="false" ht="19.5" hidden="false" customHeight="true" outlineLevel="0" collapsed="false">
      <c r="A29" s="19" t="s">
        <v>28</v>
      </c>
      <c r="B29" s="20" t="n">
        <f aca="false">COUNTIFS('Task Tracker'!D3:D202,"SEO Team",'Task Tracker'!I3:I202,"Overdue")</f>
        <v>0</v>
      </c>
      <c r="C29" s="20" t="n">
        <f aca="false">COUNTIFS('Task Tracker'!D3:D202,"SEO Team",'Task Tracker'!I3:I202,"In Progress")</f>
        <v>2</v>
      </c>
      <c r="D29" s="20" t="n">
        <f aca="false">COUNTIFS('Task Tracker'!D3:D202,"SEO Team",'Task Tracker'!I3:I202,"Pending")</f>
        <v>0</v>
      </c>
      <c r="E29" s="20" t="n">
        <f aca="false">COUNTIFS('Task Tracker'!D3:D202,"SEO Team",'Task Tracker'!I3:I202,"Not Started")</f>
        <v>1</v>
      </c>
      <c r="F29" s="20" t="n">
        <f aca="false">COUNTIFS('Task Tracker'!D3:D202,"SEO Team",'Task Tracker'!I3:I202,"Done")</f>
        <v>0</v>
      </c>
      <c r="G29" s="21" t="n">
        <f aca="false">COUNTIF('Task Tracker'!D3:D202,"SEO Team")</f>
        <v>3</v>
      </c>
    </row>
    <row r="30" customFormat="false" ht="19.5" hidden="false" customHeight="true" outlineLevel="0" collapsed="false">
      <c r="A30" s="22" t="s">
        <v>29</v>
      </c>
      <c r="B30" s="23" t="n">
        <f aca="false">COUNTIFS('Task Tracker'!D3:D202,"Content Team",'Task Tracker'!I3:I202,"Overdue")</f>
        <v>0</v>
      </c>
      <c r="C30" s="23" t="n">
        <f aca="false">COUNTIFS('Task Tracker'!D3:D202,"Content Team",'Task Tracker'!I3:I202,"In Progress")</f>
        <v>0</v>
      </c>
      <c r="D30" s="23" t="n">
        <f aca="false">COUNTIFS('Task Tracker'!D3:D202,"Content Team",'Task Tracker'!I3:I202,"Pending")</f>
        <v>0</v>
      </c>
      <c r="E30" s="23" t="n">
        <f aca="false">COUNTIFS('Task Tracker'!D3:D202,"Content Team",'Task Tracker'!I3:I202,"Not Started")</f>
        <v>1</v>
      </c>
      <c r="F30" s="23" t="n">
        <f aca="false">COUNTIFS('Task Tracker'!D3:D202,"Content Team",'Task Tracker'!I3:I202,"Done")</f>
        <v>0</v>
      </c>
      <c r="G30" s="24" t="n">
        <f aca="false">COUNTIF('Task Tracker'!D3:D202,"Content Team")</f>
        <v>1</v>
      </c>
    </row>
    <row r="31" customFormat="false" ht="19.5" hidden="false" customHeight="true" outlineLevel="0" collapsed="false">
      <c r="A31" s="19" t="s">
        <v>30</v>
      </c>
      <c r="B31" s="20" t="n">
        <f aca="false">COUNTIFS('Task Tracker'!D3:D202,"Sales Team",'Task Tracker'!I3:I202,"Overdue")</f>
        <v>0</v>
      </c>
      <c r="C31" s="20" t="n">
        <f aca="false">COUNTIFS('Task Tracker'!D3:D202,"Sales Team",'Task Tracker'!I3:I202,"In Progress")</f>
        <v>0</v>
      </c>
      <c r="D31" s="20" t="n">
        <f aca="false">COUNTIFS('Task Tracker'!D3:D202,"Sales Team",'Task Tracker'!I3:I202,"Pending")</f>
        <v>0</v>
      </c>
      <c r="E31" s="20" t="n">
        <f aca="false">COUNTIFS('Task Tracker'!D3:D202,"Sales Team",'Task Tracker'!I3:I202,"Not Started")</f>
        <v>1</v>
      </c>
      <c r="F31" s="20" t="n">
        <f aca="false">COUNTIFS('Task Tracker'!D3:D202,"Sales Team",'Task Tracker'!I3:I202,"Done")</f>
        <v>0</v>
      </c>
      <c r="G31" s="21" t="n">
        <f aca="false">COUNTIF('Task Tracker'!D3:D202,"Sales Team")</f>
        <v>1</v>
      </c>
    </row>
    <row r="32" customFormat="false" ht="19.5" hidden="false" customHeight="true" outlineLevel="0" collapsed="false">
      <c r="A32" s="22" t="s">
        <v>31</v>
      </c>
      <c r="B32" s="23" t="n">
        <f aca="false">COUNTIFS('Task Tracker'!D3:D202,"Social Team",'Task Tracker'!I3:I202,"Overdue")</f>
        <v>0</v>
      </c>
      <c r="C32" s="23" t="n">
        <f aca="false">COUNTIFS('Task Tracker'!D3:D202,"Social Team",'Task Tracker'!I3:I202,"In Progress")</f>
        <v>1</v>
      </c>
      <c r="D32" s="23" t="n">
        <f aca="false">COUNTIFS('Task Tracker'!D3:D202,"Social Team",'Task Tracker'!I3:I202,"Pending")</f>
        <v>0</v>
      </c>
      <c r="E32" s="23" t="n">
        <f aca="false">COUNTIFS('Task Tracker'!D3:D202,"Social Team",'Task Tracker'!I3:I202,"Not Started")</f>
        <v>0</v>
      </c>
      <c r="F32" s="23" t="n">
        <f aca="false">COUNTIFS('Task Tracker'!D3:D202,"Social Team",'Task Tracker'!I3:I202,"Done")</f>
        <v>0</v>
      </c>
      <c r="G32" s="24" t="n">
        <f aca="false">COUNTIF('Task Tracker'!D3:D202,"Social Team")</f>
        <v>1</v>
      </c>
    </row>
    <row r="33" customFormat="false" ht="19.5" hidden="false" customHeight="true" outlineLevel="0" collapsed="false">
      <c r="A33" s="19" t="s">
        <v>32</v>
      </c>
      <c r="B33" s="20" t="n">
        <f aca="false">COUNTIFS('Task Tracker'!D3:D202,"Dev Team",'Task Tracker'!I3:I202,"Overdue")</f>
        <v>0</v>
      </c>
      <c r="C33" s="20" t="n">
        <f aca="false">COUNTIFS('Task Tracker'!D3:D202,"Dev Team",'Task Tracker'!I3:I202,"In Progress")</f>
        <v>0</v>
      </c>
      <c r="D33" s="20" t="n">
        <f aca="false">COUNTIFS('Task Tracker'!D3:D202,"Dev Team",'Task Tracker'!I3:I202,"Pending")</f>
        <v>1</v>
      </c>
      <c r="E33" s="20" t="n">
        <f aca="false">COUNTIFS('Task Tracker'!D3:D202,"Dev Team",'Task Tracker'!I3:I202,"Not Started")</f>
        <v>0</v>
      </c>
      <c r="F33" s="20" t="n">
        <f aca="false">COUNTIFS('Task Tracker'!D3:D202,"Dev Team",'Task Tracker'!I3:I202,"Done")</f>
        <v>0</v>
      </c>
      <c r="G33" s="21" t="n">
        <f aca="false">COUNTIF('Task Tracker'!D3:D202,"Dev Team")</f>
        <v>1</v>
      </c>
    </row>
    <row r="34" customFormat="false" ht="19.5" hidden="false" customHeight="true" outlineLevel="0" collapsed="false">
      <c r="A34" s="22" t="s">
        <v>33</v>
      </c>
      <c r="B34" s="23" t="n">
        <f aca="false">COUNTIFS('Task Tracker'!D3:D202,"HR Team",'Task Tracker'!I3:I202,"Overdue")</f>
        <v>0</v>
      </c>
      <c r="C34" s="23" t="n">
        <f aca="false">COUNTIFS('Task Tracker'!D3:D202,"HR Team",'Task Tracker'!I3:I202,"In Progress")</f>
        <v>0</v>
      </c>
      <c r="D34" s="23" t="n">
        <f aca="false">COUNTIFS('Task Tracker'!D3:D202,"HR Team",'Task Tracker'!I3:I202,"Pending")</f>
        <v>0</v>
      </c>
      <c r="E34" s="23" t="n">
        <f aca="false">COUNTIFS('Task Tracker'!D3:D202,"HR Team",'Task Tracker'!I3:I202,"Not Started")</f>
        <v>0</v>
      </c>
      <c r="F34" s="23" t="n">
        <f aca="false">COUNTIFS('Task Tracker'!D3:D202,"HR Team",'Task Tracker'!I3:I202,"Done")</f>
        <v>0</v>
      </c>
      <c r="G34" s="24" t="n">
        <f aca="false">COUNTIF('Task Tracker'!D3:D202,"HR Team")</f>
        <v>0</v>
      </c>
    </row>
    <row r="36" customFormat="false" ht="7.5" hidden="false" customHeight="true" outlineLevel="0" collapsed="false"/>
    <row r="37" customFormat="false" ht="24" hidden="false" customHeight="true" outlineLevel="0" collapsed="false">
      <c r="A37" s="17" t="s">
        <v>34</v>
      </c>
      <c r="B37" s="17"/>
      <c r="C37" s="17"/>
      <c r="D37" s="17"/>
      <c r="E37" s="17"/>
      <c r="F37" s="17"/>
      <c r="G37" s="17"/>
    </row>
    <row r="38" customFormat="false" ht="19.5" hidden="false" customHeight="true" outlineLevel="0" collapsed="false">
      <c r="A38" s="18" t="s">
        <v>9</v>
      </c>
      <c r="B38" s="18" t="s">
        <v>2</v>
      </c>
      <c r="C38" s="18" t="s">
        <v>4</v>
      </c>
      <c r="D38" s="18" t="s">
        <v>5</v>
      </c>
      <c r="E38" s="18" t="s">
        <v>6</v>
      </c>
      <c r="F38" s="18" t="s">
        <v>7</v>
      </c>
      <c r="G38" s="18" t="s">
        <v>10</v>
      </c>
    </row>
    <row r="39" customFormat="false" ht="19.5" hidden="false" customHeight="true" outlineLevel="0" collapsed="false">
      <c r="A39" s="19" t="s">
        <v>35</v>
      </c>
      <c r="B39" s="20" t="n">
        <f aca="false">COUNTIFS('Task Tracker'!B3:B202,"Client",'Task Tracker'!I3:I202,"Overdue")</f>
        <v>0</v>
      </c>
      <c r="C39" s="20" t="n">
        <f aca="false">COUNTIFS('Task Tracker'!B3:B202,"Client",'Task Tracker'!I3:I202,"In Progress")</f>
        <v>3</v>
      </c>
      <c r="D39" s="20" t="n">
        <f aca="false">COUNTIFS('Task Tracker'!B3:B202,"Client",'Task Tracker'!I3:I202,"Pending")</f>
        <v>3</v>
      </c>
      <c r="E39" s="20" t="n">
        <f aca="false">COUNTIFS('Task Tracker'!B3:B202,"Client",'Task Tracker'!I3:I202,"Not Started")</f>
        <v>2</v>
      </c>
      <c r="F39" s="20" t="n">
        <f aca="false">COUNTIFS('Task Tracker'!B3:B202,"Client",'Task Tracker'!I3:I202,"Done")</f>
        <v>0</v>
      </c>
      <c r="G39" s="21" t="n">
        <f aca="false">COUNTIF('Task Tracker'!B3:B202,"Client")</f>
        <v>8</v>
      </c>
    </row>
    <row r="40" customFormat="false" ht="19.5" hidden="false" customHeight="true" outlineLevel="0" collapsed="false">
      <c r="A40" s="22" t="s">
        <v>36</v>
      </c>
      <c r="B40" s="23" t="n">
        <f aca="false">COUNTIFS('Task Tracker'!B3:B202,"Finance",'Task Tracker'!I3:I202,"Overdue")</f>
        <v>2</v>
      </c>
      <c r="C40" s="23" t="n">
        <f aca="false">COUNTIFS('Task Tracker'!B3:B202,"Finance",'Task Tracker'!I3:I202,"In Progress")</f>
        <v>0</v>
      </c>
      <c r="D40" s="23" t="n">
        <f aca="false">COUNTIFS('Task Tracker'!B3:B202,"Finance",'Task Tracker'!I3:I202,"Pending")</f>
        <v>0</v>
      </c>
      <c r="E40" s="23" t="n">
        <f aca="false">COUNTIFS('Task Tracker'!B3:B202,"Finance",'Task Tracker'!I3:I202,"Not Started")</f>
        <v>0</v>
      </c>
      <c r="F40" s="23" t="n">
        <f aca="false">COUNTIFS('Task Tracker'!B3:B202,"Finance",'Task Tracker'!I3:I202,"Done")</f>
        <v>0</v>
      </c>
      <c r="G40" s="24" t="n">
        <f aca="false">COUNTIF('Task Tracker'!B3:B202,"Finance")</f>
        <v>2</v>
      </c>
    </row>
    <row r="41" customFormat="false" ht="19.5" hidden="false" customHeight="true" outlineLevel="0" collapsed="false">
      <c r="A41" s="19" t="s">
        <v>37</v>
      </c>
      <c r="B41" s="20" t="n">
        <f aca="false">COUNTIFS('Task Tracker'!B3:B202,"Sales",'Task Tracker'!I3:I202,"Overdue")</f>
        <v>0</v>
      </c>
      <c r="C41" s="20" t="n">
        <f aca="false">COUNTIFS('Task Tracker'!B3:B202,"Sales",'Task Tracker'!I3:I202,"In Progress")</f>
        <v>0</v>
      </c>
      <c r="D41" s="20" t="n">
        <f aca="false">COUNTIFS('Task Tracker'!B3:B202,"Sales",'Task Tracker'!I3:I202,"Pending")</f>
        <v>2</v>
      </c>
      <c r="E41" s="20" t="n">
        <f aca="false">COUNTIFS('Task Tracker'!B3:B202,"Sales",'Task Tracker'!I3:I202,"Not Started")</f>
        <v>2</v>
      </c>
      <c r="F41" s="20" t="n">
        <f aca="false">COUNTIFS('Task Tracker'!B3:B202,"Sales",'Task Tracker'!I3:I202,"Done")</f>
        <v>0</v>
      </c>
      <c r="G41" s="21" t="n">
        <f aca="false">COUNTIF('Task Tracker'!B3:B202,"Sales")</f>
        <v>4</v>
      </c>
    </row>
    <row r="42" customFormat="false" ht="19.5" hidden="false" customHeight="true" outlineLevel="0" collapsed="false">
      <c r="A42" s="22" t="s">
        <v>38</v>
      </c>
      <c r="B42" s="23" t="n">
        <f aca="false">COUNTIFS('Task Tracker'!B3:B202,"HR",'Task Tracker'!I3:I202,"Overdue")</f>
        <v>0</v>
      </c>
      <c r="C42" s="23" t="n">
        <f aca="false">COUNTIFS('Task Tracker'!B3:B202,"HR",'Task Tracker'!I3:I202,"In Progress")</f>
        <v>2</v>
      </c>
      <c r="D42" s="23" t="n">
        <f aca="false">COUNTIFS('Task Tracker'!B3:B202,"HR",'Task Tracker'!I3:I202,"Pending")</f>
        <v>0</v>
      </c>
      <c r="E42" s="23" t="n">
        <f aca="false">COUNTIFS('Task Tracker'!B3:B202,"HR",'Task Tracker'!I3:I202,"Not Started")</f>
        <v>2</v>
      </c>
      <c r="F42" s="23" t="n">
        <f aca="false">COUNTIFS('Task Tracker'!B3:B202,"HR",'Task Tracker'!I3:I202,"Done")</f>
        <v>0</v>
      </c>
      <c r="G42" s="24" t="n">
        <f aca="false">COUNTIF('Task Tracker'!B3:B202,"HR")</f>
        <v>4</v>
      </c>
    </row>
    <row r="43" customFormat="false" ht="19.5" hidden="false" customHeight="true" outlineLevel="0" collapsed="false">
      <c r="A43" s="19" t="s">
        <v>39</v>
      </c>
      <c r="B43" s="20" t="n">
        <f aca="false">COUNTIFS('Task Tracker'!B3:B202,"Team",'Task Tracker'!I3:I202,"Overdue")</f>
        <v>0</v>
      </c>
      <c r="C43" s="20" t="n">
        <f aca="false">COUNTIFS('Task Tracker'!B3:B202,"Team",'Task Tracker'!I3:I202,"In Progress")</f>
        <v>1</v>
      </c>
      <c r="D43" s="20" t="n">
        <f aca="false">COUNTIFS('Task Tracker'!B3:B202,"Team",'Task Tracker'!I3:I202,"Pending")</f>
        <v>1</v>
      </c>
      <c r="E43" s="20" t="n">
        <f aca="false">COUNTIFS('Task Tracker'!B3:B202,"Team",'Task Tracker'!I3:I202,"Not Started")</f>
        <v>0</v>
      </c>
      <c r="F43" s="20" t="n">
        <f aca="false">COUNTIFS('Task Tracker'!B3:B202,"Team",'Task Tracker'!I3:I202,"Done")</f>
        <v>0</v>
      </c>
      <c r="G43" s="21" t="n">
        <f aca="false">COUNTIF('Task Tracker'!B3:B202,"Team")</f>
        <v>2</v>
      </c>
    </row>
    <row r="44" customFormat="false" ht="19.5" hidden="false" customHeight="true" outlineLevel="0" collapsed="false">
      <c r="A44" s="22" t="s">
        <v>40</v>
      </c>
      <c r="B44" s="23" t="n">
        <f aca="false">COUNTIFS('Task Tracker'!B3:B202,"Operations",'Task Tracker'!I3:I202,"Overdue")</f>
        <v>0</v>
      </c>
      <c r="C44" s="23" t="n">
        <f aca="false">COUNTIFS('Task Tracker'!B3:B202,"Operations",'Task Tracker'!I3:I202,"In Progress")</f>
        <v>0</v>
      </c>
      <c r="D44" s="23" t="n">
        <f aca="false">COUNTIFS('Task Tracker'!B3:B202,"Operations",'Task Tracker'!I3:I202,"Pending")</f>
        <v>0</v>
      </c>
      <c r="E44" s="23" t="n">
        <f aca="false">COUNTIFS('Task Tracker'!B3:B202,"Operations",'Task Tracker'!I3:I202,"Not Started")</f>
        <v>0</v>
      </c>
      <c r="F44" s="23" t="n">
        <f aca="false">COUNTIFS('Task Tracker'!B3:B202,"Operations",'Task Tracker'!I3:I202,"Done")</f>
        <v>0</v>
      </c>
      <c r="G44" s="24" t="n">
        <f aca="false">COUNTIF('Task Tracker'!B3:B202,"Operations")</f>
        <v>0</v>
      </c>
    </row>
    <row r="45" customFormat="false" ht="19.5" hidden="false" customHeight="true" outlineLevel="0" collapsed="false">
      <c r="A45" s="19" t="s">
        <v>41</v>
      </c>
      <c r="B45" s="20" t="n">
        <f aca="false">COUNTIFS('Task Tracker'!B3:B202,"Legal",'Task Tracker'!I3:I202,"Overdue")</f>
        <v>0</v>
      </c>
      <c r="C45" s="20" t="n">
        <f aca="false">COUNTIFS('Task Tracker'!B3:B202,"Legal",'Task Tracker'!I3:I202,"In Progress")</f>
        <v>0</v>
      </c>
      <c r="D45" s="20" t="n">
        <f aca="false">COUNTIFS('Task Tracker'!B3:B202,"Legal",'Task Tracker'!I3:I202,"Pending")</f>
        <v>0</v>
      </c>
      <c r="E45" s="20" t="n">
        <f aca="false">COUNTIFS('Task Tracker'!B3:B202,"Legal",'Task Tracker'!I3:I202,"Not Started")</f>
        <v>0</v>
      </c>
      <c r="F45" s="20" t="n">
        <f aca="false">COUNTIFS('Task Tracker'!B3:B202,"Legal",'Task Tracker'!I3:I202,"Done")</f>
        <v>0</v>
      </c>
      <c r="G45" s="21" t="n">
        <f aca="false">COUNTIF('Task Tracker'!B3:B202,"Legal")</f>
        <v>0</v>
      </c>
    </row>
    <row r="46" customFormat="false" ht="19.5" hidden="false" customHeight="true" outlineLevel="0" collapsed="false">
      <c r="A46" s="22" t="s">
        <v>42</v>
      </c>
      <c r="B46" s="23" t="n">
        <f aca="false">COUNTIFS('Task Tracker'!B3:B202,"Marketing",'Task Tracker'!I3:I202,"Overdue")</f>
        <v>0</v>
      </c>
      <c r="C46" s="23" t="n">
        <f aca="false">COUNTIFS('Task Tracker'!B3:B202,"Marketing",'Task Tracker'!I3:I202,"In Progress")</f>
        <v>0</v>
      </c>
      <c r="D46" s="23" t="n">
        <f aca="false">COUNTIFS('Task Tracker'!B3:B202,"Marketing",'Task Tracker'!I3:I202,"Pending")</f>
        <v>0</v>
      </c>
      <c r="E46" s="23" t="n">
        <f aca="false">COUNTIFS('Task Tracker'!B3:B202,"Marketing",'Task Tracker'!I3:I202,"Not Started")</f>
        <v>0</v>
      </c>
      <c r="F46" s="23" t="n">
        <f aca="false">COUNTIFS('Task Tracker'!B3:B202,"Marketing",'Task Tracker'!I3:I202,"Done")</f>
        <v>0</v>
      </c>
      <c r="G46" s="24" t="n">
        <f aca="false">COUNTIF('Task Tracker'!B3:B202,"Marketing")</f>
        <v>0</v>
      </c>
    </row>
  </sheetData>
  <mergeCells count="25">
    <mergeCell ref="A1:N1"/>
    <mergeCell ref="A3:B3"/>
    <mergeCell ref="C3:D3"/>
    <mergeCell ref="E3:F3"/>
    <mergeCell ref="G3:H3"/>
    <mergeCell ref="I3:J3"/>
    <mergeCell ref="K3:L3"/>
    <mergeCell ref="M3:N3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G7"/>
    <mergeCell ref="A23:G23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36" hidden="false" customHeight="true" outlineLevel="0" collapsed="false">
      <c r="A1" s="25" t="str">
        <f aca="true">"Today's Focus  |  "&amp;TEXT(TODAY(),"DD MMM YYYY")</f>
        <v>Today's Focus  |  05 Jun 2026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21.75" hidden="false" customHeight="true" outlineLevel="0" collapsed="false">
      <c r="A2" s="26" t="s">
        <v>43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9.5" hidden="false" customHeight="true" outlineLevel="0" collapsed="false">
      <c r="A3" s="27" t="s">
        <v>44</v>
      </c>
      <c r="B3" s="27" t="s">
        <v>45</v>
      </c>
      <c r="C3" s="27" t="s">
        <v>46</v>
      </c>
      <c r="D3" s="27" t="s">
        <v>47</v>
      </c>
      <c r="E3" s="27" t="s">
        <v>35</v>
      </c>
      <c r="F3" s="27" t="s">
        <v>48</v>
      </c>
      <c r="G3" s="27" t="s">
        <v>49</v>
      </c>
      <c r="H3" s="27" t="s">
        <v>50</v>
      </c>
      <c r="I3" s="27" t="s">
        <v>51</v>
      </c>
      <c r="J3" s="27" t="s">
        <v>52</v>
      </c>
    </row>
    <row r="4" customFormat="false" ht="21.75" hidden="false" customHeight="true" outlineLevel="0" collapsed="false">
      <c r="A4" s="20" t="str">
        <f aca="false">IFERROR(filter('Task Tracker'!B3:K202,(('Task Tracker'!I3:I202="Overdue")+(('Task Tracker'!J3:J202&lt;=3)*('Task Tracker'!J3:J202&gt;=0)*('Task Tracker'!I3:I202&lt;&gt;"Done")))*('Task Tracker'!C3:C202&lt;&gt;"")),"No urgent tasks — all clear!")</f>
        <v>No urgent tasks — all clear!</v>
      </c>
      <c r="B4" s="28"/>
      <c r="C4" s="28"/>
      <c r="D4" s="20"/>
      <c r="E4" s="28"/>
      <c r="F4" s="20"/>
      <c r="G4" s="29"/>
      <c r="H4" s="28"/>
      <c r="I4" s="20"/>
      <c r="J4" s="20"/>
    </row>
    <row r="5" customFormat="false" ht="21.75" hidden="false" customHeight="true" outlineLevel="0" collapsed="false">
      <c r="A5" s="23"/>
      <c r="B5" s="30"/>
      <c r="C5" s="30"/>
      <c r="D5" s="23"/>
      <c r="E5" s="30"/>
      <c r="F5" s="23"/>
      <c r="G5" s="31"/>
      <c r="H5" s="30"/>
      <c r="I5" s="23"/>
      <c r="J5" s="23"/>
    </row>
    <row r="6" customFormat="false" ht="21.75" hidden="false" customHeight="true" outlineLevel="0" collapsed="false">
      <c r="A6" s="20"/>
      <c r="B6" s="28"/>
      <c r="C6" s="28"/>
      <c r="D6" s="20"/>
      <c r="E6" s="28"/>
      <c r="F6" s="20"/>
      <c r="G6" s="29"/>
      <c r="H6" s="28"/>
      <c r="I6" s="20"/>
      <c r="J6" s="20"/>
    </row>
    <row r="7" customFormat="false" ht="21.75" hidden="false" customHeight="true" outlineLevel="0" collapsed="false">
      <c r="A7" s="23"/>
      <c r="B7" s="30"/>
      <c r="C7" s="30"/>
      <c r="D7" s="23"/>
      <c r="E7" s="30"/>
      <c r="F7" s="23"/>
      <c r="G7" s="31"/>
      <c r="H7" s="30"/>
      <c r="I7" s="23"/>
      <c r="J7" s="23"/>
    </row>
    <row r="8" customFormat="false" ht="21.75" hidden="false" customHeight="true" outlineLevel="0" collapsed="false">
      <c r="A8" s="20"/>
      <c r="B8" s="28"/>
      <c r="C8" s="28"/>
      <c r="D8" s="20"/>
      <c r="E8" s="28"/>
      <c r="F8" s="20"/>
      <c r="G8" s="29"/>
      <c r="H8" s="28"/>
      <c r="I8" s="20"/>
      <c r="J8" s="20"/>
    </row>
    <row r="9" customFormat="false" ht="21.75" hidden="false" customHeight="true" outlineLevel="0" collapsed="false">
      <c r="A9" s="23"/>
      <c r="B9" s="30"/>
      <c r="C9" s="30"/>
      <c r="D9" s="23"/>
      <c r="E9" s="30"/>
      <c r="F9" s="23"/>
      <c r="G9" s="31"/>
      <c r="H9" s="30"/>
      <c r="I9" s="23"/>
      <c r="J9" s="23"/>
    </row>
    <row r="10" customFormat="false" ht="21.75" hidden="false" customHeight="true" outlineLevel="0" collapsed="false">
      <c r="A10" s="20"/>
      <c r="B10" s="28"/>
      <c r="C10" s="28"/>
      <c r="D10" s="20"/>
      <c r="E10" s="28"/>
      <c r="F10" s="20"/>
      <c r="G10" s="29"/>
      <c r="H10" s="28"/>
      <c r="I10" s="20"/>
      <c r="J10" s="20"/>
    </row>
    <row r="11" customFormat="false" ht="21.75" hidden="false" customHeight="true" outlineLevel="0" collapsed="false">
      <c r="A11" s="23"/>
      <c r="B11" s="30"/>
      <c r="C11" s="30"/>
      <c r="D11" s="23"/>
      <c r="E11" s="30"/>
      <c r="F11" s="23"/>
      <c r="G11" s="31"/>
      <c r="H11" s="30"/>
      <c r="I11" s="23"/>
      <c r="J11" s="23"/>
    </row>
    <row r="12" customFormat="false" ht="21.75" hidden="false" customHeight="true" outlineLevel="0" collapsed="false">
      <c r="A12" s="20"/>
      <c r="B12" s="28"/>
      <c r="C12" s="28"/>
      <c r="D12" s="20"/>
      <c r="E12" s="28"/>
      <c r="F12" s="20"/>
      <c r="G12" s="29"/>
      <c r="H12" s="28"/>
      <c r="I12" s="20"/>
      <c r="J12" s="20"/>
    </row>
    <row r="13" customFormat="false" ht="21.75" hidden="false" customHeight="true" outlineLevel="0" collapsed="false">
      <c r="A13" s="23"/>
      <c r="B13" s="30"/>
      <c r="C13" s="30"/>
      <c r="D13" s="23"/>
      <c r="E13" s="30"/>
      <c r="F13" s="23"/>
      <c r="G13" s="31"/>
      <c r="H13" s="30"/>
      <c r="I13" s="23"/>
      <c r="J13" s="23"/>
    </row>
    <row r="14" customFormat="false" ht="21.75" hidden="false" customHeight="true" outlineLevel="0" collapsed="false">
      <c r="A14" s="20"/>
      <c r="B14" s="28"/>
      <c r="C14" s="28"/>
      <c r="D14" s="20"/>
      <c r="E14" s="28"/>
      <c r="F14" s="20"/>
      <c r="G14" s="29"/>
      <c r="H14" s="28"/>
      <c r="I14" s="20"/>
      <c r="J14" s="20"/>
    </row>
    <row r="15" customFormat="false" ht="21.75" hidden="false" customHeight="true" outlineLevel="0" collapsed="false">
      <c r="A15" s="23"/>
      <c r="B15" s="30"/>
      <c r="C15" s="30"/>
      <c r="D15" s="23"/>
      <c r="E15" s="30"/>
      <c r="F15" s="23"/>
      <c r="G15" s="31"/>
      <c r="H15" s="30"/>
      <c r="I15" s="23"/>
      <c r="J15" s="23"/>
    </row>
    <row r="16" customFormat="false" ht="21.75" hidden="false" customHeight="true" outlineLevel="0" collapsed="false">
      <c r="A16" s="20"/>
      <c r="B16" s="28"/>
      <c r="C16" s="28"/>
      <c r="D16" s="20"/>
      <c r="E16" s="28"/>
      <c r="F16" s="20"/>
      <c r="G16" s="29"/>
      <c r="H16" s="28"/>
      <c r="I16" s="20"/>
      <c r="J16" s="20"/>
    </row>
    <row r="17" customFormat="false" ht="21.75" hidden="false" customHeight="true" outlineLevel="0" collapsed="false">
      <c r="A17" s="23"/>
      <c r="B17" s="30"/>
      <c r="C17" s="30"/>
      <c r="D17" s="23"/>
      <c r="E17" s="30"/>
      <c r="F17" s="23"/>
      <c r="G17" s="31"/>
      <c r="H17" s="30"/>
      <c r="I17" s="23"/>
      <c r="J17" s="23"/>
    </row>
    <row r="18" customFormat="false" ht="21.75" hidden="false" customHeight="true" outlineLevel="0" collapsed="false">
      <c r="A18" s="20"/>
      <c r="B18" s="28"/>
      <c r="C18" s="28"/>
      <c r="D18" s="20"/>
      <c r="E18" s="28"/>
      <c r="F18" s="20"/>
      <c r="G18" s="29"/>
      <c r="H18" s="28"/>
      <c r="I18" s="20"/>
      <c r="J18" s="20"/>
    </row>
    <row r="19" customFormat="false" ht="21.75" hidden="false" customHeight="true" outlineLevel="0" collapsed="false">
      <c r="A19" s="23"/>
      <c r="B19" s="30"/>
      <c r="C19" s="30"/>
      <c r="D19" s="23"/>
      <c r="E19" s="30"/>
      <c r="F19" s="23"/>
      <c r="G19" s="31"/>
      <c r="H19" s="30"/>
      <c r="I19" s="23"/>
      <c r="J19" s="23"/>
    </row>
    <row r="20" customFormat="false" ht="21.75" hidden="false" customHeight="true" outlineLevel="0" collapsed="false">
      <c r="A20" s="20"/>
      <c r="B20" s="28"/>
      <c r="C20" s="28"/>
      <c r="D20" s="20"/>
      <c r="E20" s="28"/>
      <c r="F20" s="20"/>
      <c r="G20" s="29"/>
      <c r="H20" s="28"/>
      <c r="I20" s="20"/>
      <c r="J20" s="20"/>
    </row>
    <row r="21" customFormat="false" ht="21.75" hidden="false" customHeight="true" outlineLevel="0" collapsed="false">
      <c r="A21" s="23"/>
      <c r="B21" s="30"/>
      <c r="C21" s="30"/>
      <c r="D21" s="23"/>
      <c r="E21" s="30"/>
      <c r="F21" s="23"/>
      <c r="G21" s="31"/>
      <c r="H21" s="30"/>
      <c r="I21" s="23"/>
      <c r="J21" s="23"/>
    </row>
    <row r="22" customFormat="false" ht="21.75" hidden="false" customHeight="true" outlineLevel="0" collapsed="false">
      <c r="A22" s="20"/>
      <c r="B22" s="28"/>
      <c r="C22" s="28"/>
      <c r="D22" s="20"/>
      <c r="E22" s="28"/>
      <c r="F22" s="20"/>
      <c r="G22" s="29"/>
      <c r="H22" s="28"/>
      <c r="I22" s="20"/>
      <c r="J22" s="20"/>
    </row>
    <row r="23" customFormat="false" ht="21.75" hidden="false" customHeight="true" outlineLevel="0" collapsed="false">
      <c r="A23" s="23"/>
      <c r="B23" s="30"/>
      <c r="C23" s="30"/>
      <c r="D23" s="23"/>
      <c r="E23" s="30"/>
      <c r="F23" s="23"/>
      <c r="G23" s="31"/>
      <c r="H23" s="30"/>
      <c r="I23" s="23"/>
      <c r="J23" s="23"/>
    </row>
    <row r="24" customFormat="false" ht="21.75" hidden="false" customHeight="true" outlineLevel="0" collapsed="false">
      <c r="A24" s="20"/>
      <c r="B24" s="28"/>
      <c r="C24" s="28"/>
      <c r="D24" s="20"/>
      <c r="E24" s="28"/>
      <c r="F24" s="20"/>
      <c r="G24" s="29"/>
      <c r="H24" s="28"/>
      <c r="I24" s="20"/>
      <c r="J24" s="20"/>
    </row>
    <row r="25" customFormat="false" ht="21.75" hidden="false" customHeight="true" outlineLevel="0" collapsed="false">
      <c r="A25" s="23"/>
      <c r="B25" s="30"/>
      <c r="C25" s="30"/>
      <c r="D25" s="23"/>
      <c r="E25" s="30"/>
      <c r="F25" s="23"/>
      <c r="G25" s="31"/>
      <c r="H25" s="30"/>
      <c r="I25" s="23"/>
      <c r="J25" s="23"/>
    </row>
    <row r="26" customFormat="false" ht="21.75" hidden="false" customHeight="true" outlineLevel="0" collapsed="false">
      <c r="A26" s="20"/>
      <c r="B26" s="28"/>
      <c r="C26" s="28"/>
      <c r="D26" s="20"/>
      <c r="E26" s="28"/>
      <c r="F26" s="20"/>
      <c r="G26" s="29"/>
      <c r="H26" s="28"/>
      <c r="I26" s="20"/>
      <c r="J26" s="20"/>
    </row>
    <row r="27" customFormat="false" ht="21.75" hidden="false" customHeight="true" outlineLevel="0" collapsed="false">
      <c r="A27" s="23"/>
      <c r="B27" s="30"/>
      <c r="C27" s="30"/>
      <c r="D27" s="23"/>
      <c r="E27" s="30"/>
      <c r="F27" s="23"/>
      <c r="G27" s="31"/>
      <c r="H27" s="30"/>
      <c r="I27" s="23"/>
      <c r="J27" s="23"/>
    </row>
    <row r="28" customFormat="false" ht="21.75" hidden="false" customHeight="true" outlineLevel="0" collapsed="false">
      <c r="A28" s="20"/>
      <c r="B28" s="28"/>
      <c r="C28" s="28"/>
      <c r="D28" s="20"/>
      <c r="E28" s="28"/>
      <c r="F28" s="20"/>
      <c r="G28" s="29"/>
      <c r="H28" s="28"/>
      <c r="I28" s="20"/>
      <c r="J28" s="20"/>
    </row>
    <row r="29" customFormat="false" ht="21.75" hidden="false" customHeight="true" outlineLevel="0" collapsed="false">
      <c r="A29" s="23"/>
      <c r="B29" s="30"/>
      <c r="C29" s="30"/>
      <c r="D29" s="23"/>
      <c r="E29" s="30"/>
      <c r="F29" s="23"/>
      <c r="G29" s="31"/>
      <c r="H29" s="30"/>
      <c r="I29" s="23"/>
      <c r="J29" s="23"/>
    </row>
    <row r="30" customFormat="false" ht="21.75" hidden="false" customHeight="true" outlineLevel="0" collapsed="false">
      <c r="A30" s="20"/>
      <c r="B30" s="28"/>
      <c r="C30" s="28"/>
      <c r="D30" s="20"/>
      <c r="E30" s="28"/>
      <c r="F30" s="20"/>
      <c r="G30" s="29"/>
      <c r="H30" s="28"/>
      <c r="I30" s="20"/>
      <c r="J30" s="20"/>
    </row>
    <row r="31" customFormat="false" ht="21.75" hidden="false" customHeight="true" outlineLevel="0" collapsed="false">
      <c r="A31" s="23"/>
      <c r="B31" s="30"/>
      <c r="C31" s="30"/>
      <c r="D31" s="23"/>
      <c r="E31" s="30"/>
      <c r="F31" s="23"/>
      <c r="G31" s="31"/>
      <c r="H31" s="30"/>
      <c r="I31" s="23"/>
      <c r="J31" s="23"/>
    </row>
    <row r="32" customFormat="false" ht="21.75" hidden="false" customHeight="true" outlineLevel="0" collapsed="false">
      <c r="A32" s="20"/>
      <c r="B32" s="28"/>
      <c r="C32" s="28"/>
      <c r="D32" s="20"/>
      <c r="E32" s="28"/>
      <c r="F32" s="20"/>
      <c r="G32" s="29"/>
      <c r="H32" s="28"/>
      <c r="I32" s="20"/>
      <c r="J32" s="20"/>
    </row>
    <row r="33" customFormat="false" ht="21.75" hidden="false" customHeight="true" outlineLevel="0" collapsed="false">
      <c r="A33" s="23"/>
      <c r="B33" s="30"/>
      <c r="C33" s="30"/>
      <c r="D33" s="23"/>
      <c r="E33" s="30"/>
      <c r="F33" s="23"/>
      <c r="G33" s="31"/>
      <c r="H33" s="30"/>
      <c r="I33" s="23"/>
      <c r="J33" s="23"/>
    </row>
    <row r="34" customFormat="false" ht="21.75" hidden="false" customHeight="true" outlineLevel="0" collapsed="false">
      <c r="A34" s="20"/>
      <c r="B34" s="28"/>
      <c r="C34" s="28"/>
      <c r="D34" s="20"/>
      <c r="E34" s="28"/>
      <c r="F34" s="20"/>
      <c r="G34" s="29"/>
      <c r="H34" s="28"/>
      <c r="I34" s="20"/>
      <c r="J34" s="20"/>
    </row>
    <row r="35" customFormat="false" ht="21.75" hidden="false" customHeight="true" outlineLevel="0" collapsed="false">
      <c r="A35" s="23"/>
      <c r="B35" s="30"/>
      <c r="C35" s="30"/>
      <c r="D35" s="23"/>
      <c r="E35" s="30"/>
      <c r="F35" s="23"/>
      <c r="G35" s="31"/>
      <c r="H35" s="30"/>
      <c r="I35" s="23"/>
      <c r="J35" s="23"/>
    </row>
    <row r="36" customFormat="false" ht="21.75" hidden="false" customHeight="true" outlineLevel="0" collapsed="false">
      <c r="A36" s="20"/>
      <c r="B36" s="28"/>
      <c r="C36" s="28"/>
      <c r="D36" s="20"/>
      <c r="E36" s="28"/>
      <c r="F36" s="20"/>
      <c r="G36" s="29"/>
      <c r="H36" s="28"/>
      <c r="I36" s="20"/>
      <c r="J36" s="20"/>
    </row>
    <row r="37" customFormat="false" ht="21.75" hidden="false" customHeight="true" outlineLevel="0" collapsed="false">
      <c r="A37" s="23"/>
      <c r="B37" s="30"/>
      <c r="C37" s="30"/>
      <c r="D37" s="23"/>
      <c r="E37" s="30"/>
      <c r="F37" s="23"/>
      <c r="G37" s="31"/>
      <c r="H37" s="30"/>
      <c r="I37" s="23"/>
      <c r="J37" s="23"/>
    </row>
    <row r="38" customFormat="false" ht="21.75" hidden="false" customHeight="true" outlineLevel="0" collapsed="false">
      <c r="A38" s="20"/>
      <c r="B38" s="28"/>
      <c r="C38" s="28"/>
      <c r="D38" s="20"/>
      <c r="E38" s="28"/>
      <c r="F38" s="20"/>
      <c r="G38" s="29"/>
      <c r="H38" s="28"/>
      <c r="I38" s="20"/>
      <c r="J38" s="20"/>
    </row>
    <row r="39" customFormat="false" ht="21.75" hidden="false" customHeight="true" outlineLevel="0" collapsed="false">
      <c r="A39" s="23"/>
      <c r="B39" s="30"/>
      <c r="C39" s="30"/>
      <c r="D39" s="23"/>
      <c r="E39" s="30"/>
      <c r="F39" s="23"/>
      <c r="G39" s="31"/>
      <c r="H39" s="30"/>
      <c r="I39" s="23"/>
      <c r="J39" s="23"/>
    </row>
    <row r="40" customFormat="false" ht="21.75" hidden="false" customHeight="true" outlineLevel="0" collapsed="false">
      <c r="A40" s="20"/>
      <c r="B40" s="28"/>
      <c r="C40" s="28"/>
      <c r="D40" s="20"/>
      <c r="E40" s="28"/>
      <c r="F40" s="20"/>
      <c r="G40" s="29"/>
      <c r="H40" s="28"/>
      <c r="I40" s="20"/>
      <c r="J40" s="20"/>
    </row>
    <row r="41" customFormat="false" ht="21.75" hidden="false" customHeight="true" outlineLevel="0" collapsed="false">
      <c r="A41" s="23"/>
      <c r="B41" s="30"/>
      <c r="C41" s="30"/>
      <c r="D41" s="23"/>
      <c r="E41" s="30"/>
      <c r="F41" s="23"/>
      <c r="G41" s="31"/>
      <c r="H41" s="30"/>
      <c r="I41" s="23"/>
      <c r="J41" s="23"/>
    </row>
    <row r="42" customFormat="false" ht="21.75" hidden="false" customHeight="true" outlineLevel="0" collapsed="false">
      <c r="A42" s="20"/>
      <c r="B42" s="28"/>
      <c r="C42" s="28"/>
      <c r="D42" s="20"/>
      <c r="E42" s="28"/>
      <c r="F42" s="20"/>
      <c r="G42" s="29"/>
      <c r="H42" s="28"/>
      <c r="I42" s="20"/>
      <c r="J42" s="20"/>
    </row>
    <row r="43" customFormat="false" ht="21.75" hidden="false" customHeight="true" outlineLevel="0" collapsed="false">
      <c r="A43" s="23"/>
      <c r="B43" s="30"/>
      <c r="C43" s="30"/>
      <c r="D43" s="23"/>
      <c r="E43" s="30"/>
      <c r="F43" s="23"/>
      <c r="G43" s="31"/>
      <c r="H43" s="30"/>
      <c r="I43" s="23"/>
      <c r="J43" s="23"/>
    </row>
    <row r="44" customFormat="false" ht="21.75" hidden="false" customHeight="true" outlineLevel="0" collapsed="false">
      <c r="A44" s="20"/>
      <c r="B44" s="28"/>
      <c r="C44" s="28"/>
      <c r="D44" s="20"/>
      <c r="E44" s="28"/>
      <c r="F44" s="20"/>
      <c r="G44" s="29"/>
      <c r="H44" s="28"/>
      <c r="I44" s="20"/>
      <c r="J44" s="20"/>
    </row>
    <row r="45" customFormat="false" ht="21.75" hidden="false" customHeight="true" outlineLevel="0" collapsed="false">
      <c r="A45" s="23"/>
      <c r="B45" s="30"/>
      <c r="C45" s="30"/>
      <c r="D45" s="23"/>
      <c r="E45" s="30"/>
      <c r="F45" s="23"/>
      <c r="G45" s="31"/>
      <c r="H45" s="30"/>
      <c r="I45" s="23"/>
      <c r="J45" s="23"/>
    </row>
    <row r="46" customFormat="false" ht="21.75" hidden="false" customHeight="true" outlineLevel="0" collapsed="false">
      <c r="A46" s="20"/>
      <c r="B46" s="28"/>
      <c r="C46" s="28"/>
      <c r="D46" s="20"/>
      <c r="E46" s="28"/>
      <c r="F46" s="20"/>
      <c r="G46" s="29"/>
      <c r="H46" s="28"/>
      <c r="I46" s="20"/>
      <c r="J46" s="20"/>
    </row>
    <row r="47" customFormat="false" ht="21.75" hidden="false" customHeight="true" outlineLevel="0" collapsed="false">
      <c r="A47" s="23"/>
      <c r="B47" s="30"/>
      <c r="C47" s="30"/>
      <c r="D47" s="23"/>
      <c r="E47" s="30"/>
      <c r="F47" s="23"/>
      <c r="G47" s="31"/>
      <c r="H47" s="30"/>
      <c r="I47" s="23"/>
      <c r="J47" s="23"/>
    </row>
    <row r="48" customFormat="false" ht="21.75" hidden="false" customHeight="true" outlineLevel="0" collapsed="false">
      <c r="A48" s="20"/>
      <c r="B48" s="28"/>
      <c r="C48" s="28"/>
      <c r="D48" s="20"/>
      <c r="E48" s="28"/>
      <c r="F48" s="20"/>
      <c r="G48" s="29"/>
      <c r="H48" s="28"/>
      <c r="I48" s="20"/>
      <c r="J48" s="20"/>
    </row>
    <row r="49" customFormat="false" ht="21.75" hidden="false" customHeight="true" outlineLevel="0" collapsed="false">
      <c r="A49" s="23"/>
      <c r="B49" s="30"/>
      <c r="C49" s="30"/>
      <c r="D49" s="23"/>
      <c r="E49" s="30"/>
      <c r="F49" s="23"/>
      <c r="G49" s="31"/>
      <c r="H49" s="30"/>
      <c r="I49" s="23"/>
      <c r="J49" s="23"/>
    </row>
    <row r="50" customFormat="false" ht="21.75" hidden="false" customHeight="true" outlineLevel="0" collapsed="false">
      <c r="A50" s="20"/>
      <c r="B50" s="28"/>
      <c r="C50" s="28"/>
      <c r="D50" s="20"/>
      <c r="E50" s="28"/>
      <c r="F50" s="20"/>
      <c r="G50" s="29"/>
      <c r="H50" s="28"/>
      <c r="I50" s="20"/>
      <c r="J50" s="20"/>
    </row>
    <row r="51" customFormat="false" ht="21.75" hidden="false" customHeight="true" outlineLevel="0" collapsed="false">
      <c r="A51" s="23"/>
      <c r="B51" s="30"/>
      <c r="C51" s="30"/>
      <c r="D51" s="23"/>
      <c r="E51" s="30"/>
      <c r="F51" s="23"/>
      <c r="G51" s="31"/>
      <c r="H51" s="30"/>
      <c r="I51" s="23"/>
      <c r="J51" s="23"/>
    </row>
    <row r="52" customFormat="false" ht="21.75" hidden="false" customHeight="true" outlineLevel="0" collapsed="false">
      <c r="A52" s="20"/>
      <c r="B52" s="28"/>
      <c r="C52" s="28"/>
      <c r="D52" s="20"/>
      <c r="E52" s="28"/>
      <c r="F52" s="20"/>
      <c r="G52" s="29"/>
      <c r="H52" s="28"/>
      <c r="I52" s="20"/>
      <c r="J52" s="20"/>
    </row>
    <row r="53" customFormat="false" ht="21.75" hidden="false" customHeight="true" outlineLevel="0" collapsed="false">
      <c r="A53" s="23"/>
      <c r="B53" s="30"/>
      <c r="C53" s="30"/>
      <c r="D53" s="23"/>
      <c r="E53" s="30"/>
      <c r="F53" s="23"/>
      <c r="G53" s="31"/>
      <c r="H53" s="30"/>
      <c r="I53" s="23"/>
      <c r="J53" s="23"/>
    </row>
    <row r="54" customFormat="false" ht="21.75" hidden="false" customHeight="true" outlineLevel="0" collapsed="false">
      <c r="A54" s="20"/>
      <c r="B54" s="28"/>
      <c r="C54" s="28"/>
      <c r="D54" s="20"/>
      <c r="E54" s="28"/>
      <c r="F54" s="20"/>
      <c r="G54" s="29"/>
      <c r="H54" s="28"/>
      <c r="I54" s="20"/>
      <c r="J54" s="20"/>
    </row>
    <row r="55" customFormat="false" ht="21.75" hidden="false" customHeight="true" outlineLevel="0" collapsed="false">
      <c r="A55" s="23"/>
      <c r="B55" s="30"/>
      <c r="C55" s="30"/>
      <c r="D55" s="23"/>
      <c r="E55" s="30"/>
      <c r="F55" s="23"/>
      <c r="G55" s="31"/>
      <c r="H55" s="30"/>
      <c r="I55" s="23"/>
      <c r="J55" s="23"/>
    </row>
    <row r="56" customFormat="false" ht="21.75" hidden="false" customHeight="true" outlineLevel="0" collapsed="false">
      <c r="A56" s="20"/>
      <c r="B56" s="28"/>
      <c r="C56" s="28"/>
      <c r="D56" s="20"/>
      <c r="E56" s="28"/>
      <c r="F56" s="20"/>
      <c r="G56" s="29"/>
      <c r="H56" s="28"/>
      <c r="I56" s="20"/>
      <c r="J56" s="20"/>
    </row>
    <row r="57" customFormat="false" ht="21.75" hidden="false" customHeight="true" outlineLevel="0" collapsed="false">
      <c r="A57" s="23"/>
      <c r="B57" s="30"/>
      <c r="C57" s="30"/>
      <c r="D57" s="23"/>
      <c r="E57" s="30"/>
      <c r="F57" s="23"/>
      <c r="G57" s="31"/>
      <c r="H57" s="30"/>
      <c r="I57" s="23"/>
      <c r="J57" s="23"/>
    </row>
    <row r="58" customFormat="false" ht="21.75" hidden="false" customHeight="true" outlineLevel="0" collapsed="false">
      <c r="A58" s="20"/>
      <c r="B58" s="28"/>
      <c r="C58" s="28"/>
      <c r="D58" s="20"/>
      <c r="E58" s="28"/>
      <c r="F58" s="20"/>
      <c r="G58" s="29"/>
      <c r="H58" s="28"/>
      <c r="I58" s="20"/>
      <c r="J58" s="20"/>
    </row>
    <row r="59" customFormat="false" ht="21.75" hidden="false" customHeight="true" outlineLevel="0" collapsed="false">
      <c r="A59" s="23"/>
      <c r="B59" s="30"/>
      <c r="C59" s="30"/>
      <c r="D59" s="23"/>
      <c r="E59" s="30"/>
      <c r="F59" s="23"/>
      <c r="G59" s="31"/>
      <c r="H59" s="30"/>
      <c r="I59" s="23"/>
      <c r="J59" s="23"/>
    </row>
  </sheetData>
  <mergeCells count="2">
    <mergeCell ref="A1:J1"/>
    <mergeCell ref="A2:J2"/>
  </mergeCells>
  <conditionalFormatting sqref="A4:J59">
    <cfRule type="expression" priority="2" aboveAverage="0" equalAverage="0" bottom="0" percent="0" rank="0" text="" dxfId="0">
      <formula>$I4="Overdue"</formula>
    </cfRule>
    <cfRule type="expression" priority="3" aboveAverage="0" equalAverage="0" bottom="0" percent="0" rank="0" text="" dxfId="1">
      <formula>$I4="Pending"</formula>
    </cfRule>
    <cfRule type="expression" priority="4" aboveAverage="0" equalAverage="0" bottom="0" percent="0" rank="0" text="" dxfId="2">
      <formula>$I4="In Progress"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K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32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customFormat="false" ht="27.75" hidden="false" customHeight="true" outlineLevel="0" collapsed="false">
      <c r="A2" s="27" t="s">
        <v>44</v>
      </c>
      <c r="B2" s="27" t="s">
        <v>45</v>
      </c>
      <c r="C2" s="27" t="s">
        <v>46</v>
      </c>
      <c r="D2" s="27" t="s">
        <v>47</v>
      </c>
      <c r="E2" s="27" t="s">
        <v>54</v>
      </c>
      <c r="F2" s="27" t="s">
        <v>48</v>
      </c>
      <c r="G2" s="27" t="s">
        <v>49</v>
      </c>
      <c r="H2" s="27" t="s">
        <v>50</v>
      </c>
      <c r="I2" s="27" t="s">
        <v>51</v>
      </c>
      <c r="J2" s="27" t="s">
        <v>52</v>
      </c>
      <c r="K2" s="27" t="s">
        <v>55</v>
      </c>
    </row>
    <row r="3" customFormat="false" ht="21.75" hidden="false" customHeight="true" outlineLevel="0" collapsed="false">
      <c r="A3" s="33" t="n">
        <f aca="false">IF(C3="","",ROW()-2)</f>
        <v>1</v>
      </c>
      <c r="B3" s="34" t="s">
        <v>35</v>
      </c>
      <c r="C3" s="28" t="s">
        <v>56</v>
      </c>
      <c r="D3" s="20" t="s">
        <v>24</v>
      </c>
      <c r="E3" s="34" t="s">
        <v>11</v>
      </c>
      <c r="F3" s="20" t="s">
        <v>57</v>
      </c>
      <c r="G3" s="29" t="n">
        <v>46177</v>
      </c>
      <c r="H3" s="28" t="s">
        <v>58</v>
      </c>
      <c r="I3" s="20" t="s">
        <v>5</v>
      </c>
      <c r="J3" s="20" t="n">
        <f aca="true">IF(C3="","",IF(I3="Done","Done",G3-TODAY()))</f>
        <v>-1</v>
      </c>
      <c r="K3" s="35" t="s">
        <v>24</v>
      </c>
    </row>
    <row r="4" customFormat="false" ht="21.75" hidden="false" customHeight="true" outlineLevel="0" collapsed="false">
      <c r="A4" s="36" t="n">
        <f aca="false">IF(C4="","",ROW()-2)</f>
        <v>2</v>
      </c>
      <c r="B4" s="37" t="s">
        <v>35</v>
      </c>
      <c r="C4" s="30" t="s">
        <v>59</v>
      </c>
      <c r="D4" s="23" t="s">
        <v>24</v>
      </c>
      <c r="E4" s="37" t="s">
        <v>11</v>
      </c>
      <c r="F4" s="23" t="s">
        <v>57</v>
      </c>
      <c r="G4" s="31" t="n">
        <v>46178</v>
      </c>
      <c r="H4" s="30" t="s">
        <v>60</v>
      </c>
      <c r="I4" s="23" t="s">
        <v>5</v>
      </c>
      <c r="J4" s="23" t="n">
        <f aca="true">IF(C4="","",IF(I4="Done","Done",G4-TODAY()))</f>
        <v>0</v>
      </c>
      <c r="K4" s="38" t="s">
        <v>24</v>
      </c>
    </row>
    <row r="5" customFormat="false" ht="21.75" hidden="false" customHeight="true" outlineLevel="0" collapsed="false">
      <c r="A5" s="33" t="n">
        <f aca="false">IF(C5="","",ROW()-2)</f>
        <v>3</v>
      </c>
      <c r="B5" s="34" t="s">
        <v>35</v>
      </c>
      <c r="C5" s="28" t="s">
        <v>61</v>
      </c>
      <c r="D5" s="20" t="s">
        <v>26</v>
      </c>
      <c r="E5" s="34" t="s">
        <v>12</v>
      </c>
      <c r="F5" s="20" t="s">
        <v>57</v>
      </c>
      <c r="G5" s="29" t="n">
        <v>46179</v>
      </c>
      <c r="H5" s="28" t="s">
        <v>62</v>
      </c>
      <c r="I5" s="20" t="s">
        <v>4</v>
      </c>
      <c r="J5" s="20" t="n">
        <f aca="true">IF(C5="","",IF(I5="Done","Done",G5-TODAY()))</f>
        <v>1</v>
      </c>
      <c r="K5" s="35" t="s">
        <v>24</v>
      </c>
    </row>
    <row r="6" customFormat="false" ht="21.75" hidden="false" customHeight="true" outlineLevel="0" collapsed="false">
      <c r="A6" s="36" t="n">
        <f aca="false">IF(C6="","",ROW()-2)</f>
        <v>4</v>
      </c>
      <c r="B6" s="37" t="s">
        <v>35</v>
      </c>
      <c r="C6" s="30" t="s">
        <v>63</v>
      </c>
      <c r="D6" s="23" t="s">
        <v>26</v>
      </c>
      <c r="E6" s="37" t="s">
        <v>14</v>
      </c>
      <c r="F6" s="23" t="s">
        <v>57</v>
      </c>
      <c r="G6" s="31" t="n">
        <v>46177</v>
      </c>
      <c r="H6" s="30" t="s">
        <v>64</v>
      </c>
      <c r="I6" s="23" t="s">
        <v>5</v>
      </c>
      <c r="J6" s="23" t="n">
        <f aca="true">IF(C6="","",IF(I6="Done","Done",G6-TODAY()))</f>
        <v>-1</v>
      </c>
      <c r="K6" s="38" t="s">
        <v>24</v>
      </c>
    </row>
    <row r="7" customFormat="false" ht="21.75" hidden="false" customHeight="true" outlineLevel="0" collapsed="false">
      <c r="A7" s="33" t="n">
        <f aca="false">IF(C7="","",ROW()-2)</f>
        <v>5</v>
      </c>
      <c r="B7" s="34" t="s">
        <v>35</v>
      </c>
      <c r="C7" s="28" t="s">
        <v>65</v>
      </c>
      <c r="D7" s="20" t="s">
        <v>29</v>
      </c>
      <c r="E7" s="34" t="s">
        <v>13</v>
      </c>
      <c r="F7" s="20" t="s">
        <v>66</v>
      </c>
      <c r="G7" s="29" t="n">
        <v>46183</v>
      </c>
      <c r="H7" s="28" t="s">
        <v>67</v>
      </c>
      <c r="I7" s="20" t="s">
        <v>6</v>
      </c>
      <c r="J7" s="20" t="n">
        <f aca="true">IF(C7="","",IF(I7="Done","Done",G7-TODAY()))</f>
        <v>5</v>
      </c>
      <c r="K7" s="35" t="s">
        <v>24</v>
      </c>
    </row>
    <row r="8" customFormat="false" ht="21.75" hidden="false" customHeight="true" outlineLevel="0" collapsed="false">
      <c r="A8" s="36" t="n">
        <f aca="false">IF(C8="","",ROW()-2)</f>
        <v>6</v>
      </c>
      <c r="B8" s="37" t="s">
        <v>35</v>
      </c>
      <c r="C8" s="30" t="s">
        <v>68</v>
      </c>
      <c r="D8" s="23" t="s">
        <v>28</v>
      </c>
      <c r="E8" s="37" t="s">
        <v>15</v>
      </c>
      <c r="F8" s="23" t="s">
        <v>57</v>
      </c>
      <c r="G8" s="31" t="n">
        <v>46181</v>
      </c>
      <c r="H8" s="30" t="s">
        <v>69</v>
      </c>
      <c r="I8" s="23" t="s">
        <v>4</v>
      </c>
      <c r="J8" s="23" t="n">
        <f aca="true">IF(C8="","",IF(I8="Done","Done",G8-TODAY()))</f>
        <v>3</v>
      </c>
      <c r="K8" s="38" t="s">
        <v>24</v>
      </c>
    </row>
    <row r="9" customFormat="false" ht="21.75" hidden="false" customHeight="true" outlineLevel="0" collapsed="false">
      <c r="A9" s="33" t="n">
        <f aca="false">IF(C9="","",ROW()-2)</f>
        <v>7</v>
      </c>
      <c r="B9" s="34" t="s">
        <v>35</v>
      </c>
      <c r="C9" s="28" t="s">
        <v>70</v>
      </c>
      <c r="D9" s="20" t="s">
        <v>28</v>
      </c>
      <c r="E9" s="34" t="s">
        <v>17</v>
      </c>
      <c r="F9" s="20" t="s">
        <v>57</v>
      </c>
      <c r="G9" s="29" t="n">
        <v>46181</v>
      </c>
      <c r="H9" s="28" t="s">
        <v>71</v>
      </c>
      <c r="I9" s="20" t="s">
        <v>4</v>
      </c>
      <c r="J9" s="20" t="n">
        <f aca="true">IF(C9="","",IF(I9="Done","Done",G9-TODAY()))</f>
        <v>3</v>
      </c>
      <c r="K9" s="35" t="s">
        <v>24</v>
      </c>
    </row>
    <row r="10" customFormat="false" ht="21.75" hidden="false" customHeight="true" outlineLevel="0" collapsed="false">
      <c r="A10" s="36" t="n">
        <f aca="false">IF(C10="","",ROW()-2)</f>
        <v>8</v>
      </c>
      <c r="B10" s="37" t="s">
        <v>35</v>
      </c>
      <c r="C10" s="30" t="s">
        <v>72</v>
      </c>
      <c r="D10" s="23" t="s">
        <v>26</v>
      </c>
      <c r="E10" s="37" t="s">
        <v>18</v>
      </c>
      <c r="F10" s="23" t="s">
        <v>73</v>
      </c>
      <c r="G10" s="31" t="n">
        <v>46187</v>
      </c>
      <c r="H10" s="30" t="s">
        <v>74</v>
      </c>
      <c r="I10" s="23" t="s">
        <v>6</v>
      </c>
      <c r="J10" s="23" t="n">
        <f aca="true">IF(C10="","",IF(I10="Done","Done",G10-TODAY()))</f>
        <v>9</v>
      </c>
      <c r="K10" s="38" t="s">
        <v>24</v>
      </c>
    </row>
    <row r="11" customFormat="false" ht="21.75" hidden="false" customHeight="true" outlineLevel="0" collapsed="false">
      <c r="A11" s="33" t="n">
        <f aca="false">IF(C11="","",ROW()-2)</f>
        <v>9</v>
      </c>
      <c r="B11" s="34" t="s">
        <v>36</v>
      </c>
      <c r="C11" s="28" t="s">
        <v>75</v>
      </c>
      <c r="D11" s="20" t="s">
        <v>24</v>
      </c>
      <c r="E11" s="34" t="s">
        <v>14</v>
      </c>
      <c r="F11" s="20" t="s">
        <v>57</v>
      </c>
      <c r="G11" s="29" t="n">
        <v>46175</v>
      </c>
      <c r="H11" s="28" t="s">
        <v>76</v>
      </c>
      <c r="I11" s="20" t="s">
        <v>2</v>
      </c>
      <c r="J11" s="20" t="n">
        <f aca="true">IF(C11="","",IF(I11="Done","Done",G11-TODAY()))</f>
        <v>-3</v>
      </c>
      <c r="K11" s="35" t="s">
        <v>24</v>
      </c>
    </row>
    <row r="12" customFormat="false" ht="21.75" hidden="false" customHeight="true" outlineLevel="0" collapsed="false">
      <c r="A12" s="36" t="n">
        <f aca="false">IF(C12="","",ROW()-2)</f>
        <v>10</v>
      </c>
      <c r="B12" s="37" t="s">
        <v>36</v>
      </c>
      <c r="C12" s="30" t="s">
        <v>77</v>
      </c>
      <c r="D12" s="23" t="s">
        <v>24</v>
      </c>
      <c r="E12" s="37" t="s">
        <v>16</v>
      </c>
      <c r="F12" s="23" t="s">
        <v>57</v>
      </c>
      <c r="G12" s="31" t="n">
        <v>46176</v>
      </c>
      <c r="H12" s="30" t="s">
        <v>78</v>
      </c>
      <c r="I12" s="23" t="s">
        <v>2</v>
      </c>
      <c r="J12" s="23" t="n">
        <f aca="true">IF(C12="","",IF(I12="Done","Done",G12-TODAY()))</f>
        <v>-2</v>
      </c>
      <c r="K12" s="38" t="s">
        <v>24</v>
      </c>
    </row>
    <row r="13" customFormat="false" ht="21.75" hidden="false" customHeight="true" outlineLevel="0" collapsed="false">
      <c r="A13" s="33" t="n">
        <f aca="false">IF(C13="","",ROW()-2)</f>
        <v>11</v>
      </c>
      <c r="B13" s="34" t="s">
        <v>37</v>
      </c>
      <c r="C13" s="28" t="s">
        <v>79</v>
      </c>
      <c r="D13" s="20" t="s">
        <v>24</v>
      </c>
      <c r="E13" s="34" t="s">
        <v>19</v>
      </c>
      <c r="F13" s="20" t="s">
        <v>57</v>
      </c>
      <c r="G13" s="29" t="n">
        <v>46178</v>
      </c>
      <c r="H13" s="28" t="s">
        <v>80</v>
      </c>
      <c r="I13" s="20" t="s">
        <v>5</v>
      </c>
      <c r="J13" s="20" t="n">
        <f aca="true">IF(C13="","",IF(I13="Done","Done",G13-TODAY()))</f>
        <v>0</v>
      </c>
      <c r="K13" s="35" t="s">
        <v>24</v>
      </c>
    </row>
    <row r="14" customFormat="false" ht="21.75" hidden="false" customHeight="true" outlineLevel="0" collapsed="false">
      <c r="A14" s="36" t="n">
        <f aca="false">IF(C14="","",ROW()-2)</f>
        <v>12</v>
      </c>
      <c r="B14" s="37" t="s">
        <v>37</v>
      </c>
      <c r="C14" s="30" t="s">
        <v>81</v>
      </c>
      <c r="D14" s="23" t="s">
        <v>24</v>
      </c>
      <c r="E14" s="37" t="s">
        <v>20</v>
      </c>
      <c r="F14" s="23" t="s">
        <v>66</v>
      </c>
      <c r="G14" s="31" t="n">
        <v>46180</v>
      </c>
      <c r="H14" s="30" t="s">
        <v>82</v>
      </c>
      <c r="I14" s="23" t="s">
        <v>5</v>
      </c>
      <c r="J14" s="23" t="n">
        <f aca="true">IF(C14="","",IF(I14="Done","Done",G14-TODAY()))</f>
        <v>2</v>
      </c>
      <c r="K14" s="38" t="s">
        <v>24</v>
      </c>
    </row>
    <row r="15" customFormat="false" ht="21.75" hidden="false" customHeight="true" outlineLevel="0" collapsed="false">
      <c r="A15" s="33" t="n">
        <f aca="false">IF(C15="","",ROW()-2)</f>
        <v>13</v>
      </c>
      <c r="B15" s="34" t="s">
        <v>37</v>
      </c>
      <c r="C15" s="28" t="s">
        <v>83</v>
      </c>
      <c r="D15" s="20" t="s">
        <v>28</v>
      </c>
      <c r="E15" s="34" t="s">
        <v>21</v>
      </c>
      <c r="F15" s="20" t="s">
        <v>73</v>
      </c>
      <c r="G15" s="29" t="n">
        <v>46187</v>
      </c>
      <c r="H15" s="28" t="s">
        <v>84</v>
      </c>
      <c r="I15" s="20" t="s">
        <v>6</v>
      </c>
      <c r="J15" s="20" t="n">
        <f aca="true">IF(C15="","",IF(I15="Done","Done",G15-TODAY()))</f>
        <v>9</v>
      </c>
      <c r="K15" s="35" t="s">
        <v>24</v>
      </c>
    </row>
    <row r="16" customFormat="false" ht="21.75" hidden="false" customHeight="true" outlineLevel="0" collapsed="false">
      <c r="A16" s="36" t="n">
        <f aca="false">IF(C16="","",ROW()-2)</f>
        <v>14</v>
      </c>
      <c r="B16" s="37" t="s">
        <v>37</v>
      </c>
      <c r="C16" s="30" t="s">
        <v>85</v>
      </c>
      <c r="D16" s="23" t="s">
        <v>30</v>
      </c>
      <c r="E16" s="37" t="s">
        <v>22</v>
      </c>
      <c r="F16" s="23" t="s">
        <v>73</v>
      </c>
      <c r="G16" s="31" t="n">
        <v>46184</v>
      </c>
      <c r="H16" s="30" t="s">
        <v>86</v>
      </c>
      <c r="I16" s="23" t="s">
        <v>6</v>
      </c>
      <c r="J16" s="23" t="n">
        <f aca="true">IF(C16="","",IF(I16="Done","Done",G16-TODAY()))</f>
        <v>6</v>
      </c>
      <c r="K16" s="38" t="s">
        <v>24</v>
      </c>
    </row>
    <row r="17" customFormat="false" ht="21.75" hidden="false" customHeight="true" outlineLevel="0" collapsed="false">
      <c r="A17" s="33" t="n">
        <f aca="false">IF(C17="","",ROW()-2)</f>
        <v>15</v>
      </c>
      <c r="B17" s="34" t="s">
        <v>38</v>
      </c>
      <c r="C17" s="28" t="s">
        <v>87</v>
      </c>
      <c r="D17" s="20" t="s">
        <v>27</v>
      </c>
      <c r="E17" s="34" t="s">
        <v>22</v>
      </c>
      <c r="F17" s="20" t="s">
        <v>66</v>
      </c>
      <c r="G17" s="29" t="n">
        <v>46180</v>
      </c>
      <c r="H17" s="28" t="s">
        <v>88</v>
      </c>
      <c r="I17" s="20" t="s">
        <v>4</v>
      </c>
      <c r="J17" s="20" t="n">
        <f aca="true">IF(C17="","",IF(I17="Done","Done",G17-TODAY()))</f>
        <v>2</v>
      </c>
      <c r="K17" s="35" t="s">
        <v>24</v>
      </c>
    </row>
    <row r="18" customFormat="false" ht="21.75" hidden="false" customHeight="true" outlineLevel="0" collapsed="false">
      <c r="A18" s="36" t="n">
        <f aca="false">IF(C18="","",ROW()-2)</f>
        <v>16</v>
      </c>
      <c r="B18" s="37" t="s">
        <v>38</v>
      </c>
      <c r="C18" s="30" t="s">
        <v>89</v>
      </c>
      <c r="D18" s="23" t="s">
        <v>27</v>
      </c>
      <c r="E18" s="37" t="s">
        <v>16</v>
      </c>
      <c r="F18" s="23" t="s">
        <v>66</v>
      </c>
      <c r="G18" s="31" t="n">
        <v>46182</v>
      </c>
      <c r="H18" s="30" t="s">
        <v>90</v>
      </c>
      <c r="I18" s="23" t="s">
        <v>4</v>
      </c>
      <c r="J18" s="23" t="n">
        <f aca="true">IF(C18="","",IF(I18="Done","Done",G18-TODAY()))</f>
        <v>4</v>
      </c>
      <c r="K18" s="38" t="s">
        <v>24</v>
      </c>
    </row>
    <row r="19" customFormat="false" ht="21.75" hidden="false" customHeight="true" outlineLevel="0" collapsed="false">
      <c r="A19" s="33" t="n">
        <f aca="false">IF(C19="","",ROW()-2)</f>
        <v>17</v>
      </c>
      <c r="B19" s="34" t="s">
        <v>38</v>
      </c>
      <c r="C19" s="28" t="s">
        <v>91</v>
      </c>
      <c r="D19" s="20" t="s">
        <v>27</v>
      </c>
      <c r="E19" s="34" t="s">
        <v>22</v>
      </c>
      <c r="F19" s="20" t="s">
        <v>66</v>
      </c>
      <c r="G19" s="29" t="n">
        <v>46184</v>
      </c>
      <c r="H19" s="28" t="s">
        <v>92</v>
      </c>
      <c r="I19" s="20" t="s">
        <v>6</v>
      </c>
      <c r="J19" s="20" t="n">
        <f aca="true">IF(C19="","",IF(I19="Done","Done",G19-TODAY()))</f>
        <v>6</v>
      </c>
      <c r="K19" s="35" t="s">
        <v>24</v>
      </c>
    </row>
    <row r="20" customFormat="false" ht="21.75" hidden="false" customHeight="true" outlineLevel="0" collapsed="false">
      <c r="A20" s="36" t="n">
        <f aca="false">IF(C20="","",ROW()-2)</f>
        <v>18</v>
      </c>
      <c r="B20" s="37" t="s">
        <v>38</v>
      </c>
      <c r="C20" s="30" t="s">
        <v>93</v>
      </c>
      <c r="D20" s="23" t="s">
        <v>27</v>
      </c>
      <c r="E20" s="37" t="s">
        <v>22</v>
      </c>
      <c r="F20" s="23" t="s">
        <v>73</v>
      </c>
      <c r="G20" s="31" t="n">
        <v>46191</v>
      </c>
      <c r="H20" s="30" t="s">
        <v>94</v>
      </c>
      <c r="I20" s="23" t="s">
        <v>6</v>
      </c>
      <c r="J20" s="23" t="n">
        <f aca="true">IF(C20="","",IF(I20="Done","Done",G20-TODAY()))</f>
        <v>13</v>
      </c>
      <c r="K20" s="38" t="s">
        <v>24</v>
      </c>
    </row>
    <row r="21" customFormat="false" ht="21.75" hidden="false" customHeight="true" outlineLevel="0" collapsed="false">
      <c r="A21" s="33" t="n">
        <f aca="false">IF(C21="","",ROW()-2)</f>
        <v>19</v>
      </c>
      <c r="B21" s="34" t="s">
        <v>39</v>
      </c>
      <c r="C21" s="28" t="s">
        <v>95</v>
      </c>
      <c r="D21" s="20" t="s">
        <v>32</v>
      </c>
      <c r="E21" s="34" t="s">
        <v>22</v>
      </c>
      <c r="F21" s="20" t="s">
        <v>66</v>
      </c>
      <c r="G21" s="29" t="n">
        <v>46180</v>
      </c>
      <c r="H21" s="28" t="s">
        <v>96</v>
      </c>
      <c r="I21" s="20" t="s">
        <v>5</v>
      </c>
      <c r="J21" s="20" t="n">
        <f aca="true">IF(C21="","",IF(I21="Done","Done",G21-TODAY()))</f>
        <v>2</v>
      </c>
      <c r="K21" s="35" t="s">
        <v>24</v>
      </c>
    </row>
    <row r="22" customFormat="false" ht="21.75" hidden="false" customHeight="true" outlineLevel="0" collapsed="false">
      <c r="A22" s="36" t="n">
        <f aca="false">IF(C22="","",ROW()-2)</f>
        <v>20</v>
      </c>
      <c r="B22" s="37" t="s">
        <v>39</v>
      </c>
      <c r="C22" s="30" t="s">
        <v>97</v>
      </c>
      <c r="D22" s="23" t="s">
        <v>31</v>
      </c>
      <c r="E22" s="37" t="s">
        <v>22</v>
      </c>
      <c r="F22" s="23" t="s">
        <v>66</v>
      </c>
      <c r="G22" s="31" t="n">
        <v>46182</v>
      </c>
      <c r="H22" s="30" t="s">
        <v>98</v>
      </c>
      <c r="I22" s="23" t="s">
        <v>4</v>
      </c>
      <c r="J22" s="23" t="n">
        <f aca="true">IF(C22="","",IF(I22="Done","Done",G22-TODAY()))</f>
        <v>4</v>
      </c>
      <c r="K22" s="38" t="s">
        <v>24</v>
      </c>
    </row>
    <row r="23" customFormat="false" ht="19.5" hidden="false" customHeight="true" outlineLevel="0" collapsed="false">
      <c r="A23" s="20" t="str">
        <f aca="false">IF(C23="","",ROW()-2)</f>
        <v/>
      </c>
      <c r="B23" s="34"/>
      <c r="C23" s="34"/>
      <c r="D23" s="20"/>
      <c r="E23" s="34"/>
      <c r="F23" s="20"/>
      <c r="G23" s="29"/>
      <c r="H23" s="34"/>
      <c r="I23" s="20"/>
      <c r="J23" s="20" t="str">
        <f aca="true">IF(C23="","",IF(I23="Done","Done",G23-TODAY()))</f>
        <v/>
      </c>
      <c r="K23" s="20"/>
    </row>
    <row r="24" customFormat="false" ht="19.5" hidden="false" customHeight="true" outlineLevel="0" collapsed="false">
      <c r="A24" s="23" t="str">
        <f aca="false">IF(C24="","",ROW()-2)</f>
        <v/>
      </c>
      <c r="B24" s="37"/>
      <c r="C24" s="37"/>
      <c r="D24" s="23"/>
      <c r="E24" s="37"/>
      <c r="F24" s="23"/>
      <c r="G24" s="31"/>
      <c r="H24" s="37"/>
      <c r="I24" s="23"/>
      <c r="J24" s="23" t="str">
        <f aca="true">IF(C24="","",IF(I24="Done","Done",G24-TODAY()))</f>
        <v/>
      </c>
      <c r="K24" s="23"/>
    </row>
    <row r="25" customFormat="false" ht="19.5" hidden="false" customHeight="true" outlineLevel="0" collapsed="false">
      <c r="A25" s="20" t="str">
        <f aca="false">IF(C25="","",ROW()-2)</f>
        <v/>
      </c>
      <c r="B25" s="34"/>
      <c r="C25" s="34"/>
      <c r="D25" s="20"/>
      <c r="E25" s="34"/>
      <c r="F25" s="20"/>
      <c r="G25" s="29"/>
      <c r="H25" s="34"/>
      <c r="I25" s="20"/>
      <c r="J25" s="20" t="str">
        <f aca="true">IF(C25="","",IF(I25="Done","Done",G25-TODAY()))</f>
        <v/>
      </c>
      <c r="K25" s="20"/>
    </row>
    <row r="26" customFormat="false" ht="19.5" hidden="false" customHeight="true" outlineLevel="0" collapsed="false">
      <c r="A26" s="23" t="str">
        <f aca="false">IF(C26="","",ROW()-2)</f>
        <v/>
      </c>
      <c r="B26" s="37"/>
      <c r="C26" s="37"/>
      <c r="D26" s="23"/>
      <c r="E26" s="37"/>
      <c r="F26" s="23"/>
      <c r="G26" s="31"/>
      <c r="H26" s="37"/>
      <c r="I26" s="23"/>
      <c r="J26" s="23" t="str">
        <f aca="true">IF(C26="","",IF(I26="Done","Done",G26-TODAY()))</f>
        <v/>
      </c>
      <c r="K26" s="23"/>
    </row>
    <row r="27" customFormat="false" ht="19.5" hidden="false" customHeight="true" outlineLevel="0" collapsed="false">
      <c r="A27" s="20" t="str">
        <f aca="false">IF(C27="","",ROW()-2)</f>
        <v/>
      </c>
      <c r="B27" s="34"/>
      <c r="C27" s="34"/>
      <c r="D27" s="20"/>
      <c r="E27" s="34"/>
      <c r="F27" s="20"/>
      <c r="G27" s="29"/>
      <c r="H27" s="34"/>
      <c r="I27" s="20"/>
      <c r="J27" s="20" t="str">
        <f aca="true">IF(C27="","",IF(I27="Done","Done",G27-TODAY()))</f>
        <v/>
      </c>
      <c r="K27" s="20"/>
    </row>
    <row r="28" customFormat="false" ht="19.5" hidden="false" customHeight="true" outlineLevel="0" collapsed="false">
      <c r="A28" s="23" t="str">
        <f aca="false">IF(C28="","",ROW()-2)</f>
        <v/>
      </c>
      <c r="B28" s="37"/>
      <c r="C28" s="37"/>
      <c r="D28" s="23"/>
      <c r="E28" s="37"/>
      <c r="F28" s="23"/>
      <c r="G28" s="31"/>
      <c r="H28" s="37"/>
      <c r="I28" s="23"/>
      <c r="J28" s="23" t="str">
        <f aca="true">IF(C28="","",IF(I28="Done","Done",G28-TODAY()))</f>
        <v/>
      </c>
      <c r="K28" s="23"/>
    </row>
    <row r="29" customFormat="false" ht="19.5" hidden="false" customHeight="true" outlineLevel="0" collapsed="false">
      <c r="A29" s="20" t="str">
        <f aca="false">IF(C29="","",ROW()-2)</f>
        <v/>
      </c>
      <c r="B29" s="34"/>
      <c r="C29" s="34"/>
      <c r="D29" s="20"/>
      <c r="E29" s="34"/>
      <c r="F29" s="20"/>
      <c r="G29" s="29"/>
      <c r="H29" s="34"/>
      <c r="I29" s="20"/>
      <c r="J29" s="20" t="str">
        <f aca="true">IF(C29="","",IF(I29="Done","Done",G29-TODAY()))</f>
        <v/>
      </c>
      <c r="K29" s="20"/>
    </row>
    <row r="30" customFormat="false" ht="19.5" hidden="false" customHeight="true" outlineLevel="0" collapsed="false">
      <c r="A30" s="23" t="str">
        <f aca="false">IF(C30="","",ROW()-2)</f>
        <v/>
      </c>
      <c r="B30" s="37"/>
      <c r="C30" s="37"/>
      <c r="D30" s="23"/>
      <c r="E30" s="37"/>
      <c r="F30" s="23"/>
      <c r="G30" s="31"/>
      <c r="H30" s="37"/>
      <c r="I30" s="23"/>
      <c r="J30" s="23" t="str">
        <f aca="true">IF(C30="","",IF(I30="Done","Done",G30-TODAY()))</f>
        <v/>
      </c>
      <c r="K30" s="23"/>
    </row>
    <row r="31" customFormat="false" ht="19.5" hidden="false" customHeight="true" outlineLevel="0" collapsed="false">
      <c r="A31" s="20" t="str">
        <f aca="false">IF(C31="","",ROW()-2)</f>
        <v/>
      </c>
      <c r="B31" s="34"/>
      <c r="C31" s="34"/>
      <c r="D31" s="20"/>
      <c r="E31" s="34"/>
      <c r="F31" s="20"/>
      <c r="G31" s="29"/>
      <c r="H31" s="34"/>
      <c r="I31" s="20"/>
      <c r="J31" s="20" t="str">
        <f aca="true">IF(C31="","",IF(I31="Done","Done",G31-TODAY()))</f>
        <v/>
      </c>
      <c r="K31" s="20"/>
    </row>
    <row r="32" customFormat="false" ht="19.5" hidden="false" customHeight="true" outlineLevel="0" collapsed="false">
      <c r="A32" s="23" t="str">
        <f aca="false">IF(C32="","",ROW()-2)</f>
        <v/>
      </c>
      <c r="B32" s="37"/>
      <c r="C32" s="37"/>
      <c r="D32" s="23"/>
      <c r="E32" s="37"/>
      <c r="F32" s="23"/>
      <c r="G32" s="31"/>
      <c r="H32" s="37"/>
      <c r="I32" s="23"/>
      <c r="J32" s="23" t="str">
        <f aca="true">IF(C32="","",IF(I32="Done","Done",G32-TODAY()))</f>
        <v/>
      </c>
      <c r="K32" s="23"/>
    </row>
    <row r="33" customFormat="false" ht="19.5" hidden="false" customHeight="true" outlineLevel="0" collapsed="false">
      <c r="A33" s="20" t="str">
        <f aca="false">IF(C33="","",ROW()-2)</f>
        <v/>
      </c>
      <c r="B33" s="34"/>
      <c r="C33" s="34"/>
      <c r="D33" s="20"/>
      <c r="E33" s="34"/>
      <c r="F33" s="20"/>
      <c r="G33" s="29"/>
      <c r="H33" s="34"/>
      <c r="I33" s="20"/>
      <c r="J33" s="20" t="str">
        <f aca="true">IF(C33="","",IF(I33="Done","Done",G33-TODAY()))</f>
        <v/>
      </c>
      <c r="K33" s="20"/>
    </row>
    <row r="34" customFormat="false" ht="19.5" hidden="false" customHeight="true" outlineLevel="0" collapsed="false">
      <c r="A34" s="23" t="str">
        <f aca="false">IF(C34="","",ROW()-2)</f>
        <v/>
      </c>
      <c r="B34" s="37"/>
      <c r="C34" s="37"/>
      <c r="D34" s="23"/>
      <c r="E34" s="37"/>
      <c r="F34" s="23"/>
      <c r="G34" s="31"/>
      <c r="H34" s="37"/>
      <c r="I34" s="23"/>
      <c r="J34" s="23" t="str">
        <f aca="true">IF(C34="","",IF(I34="Done","Done",G34-TODAY()))</f>
        <v/>
      </c>
      <c r="K34" s="23"/>
    </row>
    <row r="35" customFormat="false" ht="19.5" hidden="false" customHeight="true" outlineLevel="0" collapsed="false">
      <c r="A35" s="20" t="str">
        <f aca="false">IF(C35="","",ROW()-2)</f>
        <v/>
      </c>
      <c r="B35" s="34"/>
      <c r="C35" s="34"/>
      <c r="D35" s="20"/>
      <c r="E35" s="34"/>
      <c r="F35" s="20"/>
      <c r="G35" s="29"/>
      <c r="H35" s="34"/>
      <c r="I35" s="20"/>
      <c r="J35" s="20" t="str">
        <f aca="true">IF(C35="","",IF(I35="Done","Done",G35-TODAY()))</f>
        <v/>
      </c>
      <c r="K35" s="20"/>
    </row>
    <row r="36" customFormat="false" ht="19.5" hidden="false" customHeight="true" outlineLevel="0" collapsed="false">
      <c r="A36" s="23" t="str">
        <f aca="false">IF(C36="","",ROW()-2)</f>
        <v/>
      </c>
      <c r="B36" s="37"/>
      <c r="C36" s="37"/>
      <c r="D36" s="23"/>
      <c r="E36" s="37"/>
      <c r="F36" s="23"/>
      <c r="G36" s="31"/>
      <c r="H36" s="37"/>
      <c r="I36" s="23"/>
      <c r="J36" s="23" t="str">
        <f aca="true">IF(C36="","",IF(I36="Done","Done",G36-TODAY()))</f>
        <v/>
      </c>
      <c r="K36" s="23"/>
    </row>
    <row r="37" customFormat="false" ht="19.5" hidden="false" customHeight="true" outlineLevel="0" collapsed="false">
      <c r="A37" s="20" t="str">
        <f aca="false">IF(C37="","",ROW()-2)</f>
        <v/>
      </c>
      <c r="B37" s="34"/>
      <c r="C37" s="34"/>
      <c r="D37" s="20"/>
      <c r="E37" s="34"/>
      <c r="F37" s="20"/>
      <c r="G37" s="29"/>
      <c r="H37" s="34"/>
      <c r="I37" s="20"/>
      <c r="J37" s="20" t="str">
        <f aca="true">IF(C37="","",IF(I37="Done","Done",G37-TODAY()))</f>
        <v/>
      </c>
      <c r="K37" s="20"/>
    </row>
    <row r="38" customFormat="false" ht="19.5" hidden="false" customHeight="true" outlineLevel="0" collapsed="false">
      <c r="A38" s="23" t="str">
        <f aca="false">IF(C38="","",ROW()-2)</f>
        <v/>
      </c>
      <c r="B38" s="37"/>
      <c r="C38" s="37"/>
      <c r="D38" s="23"/>
      <c r="E38" s="37"/>
      <c r="F38" s="23"/>
      <c r="G38" s="31"/>
      <c r="H38" s="37"/>
      <c r="I38" s="23"/>
      <c r="J38" s="23" t="str">
        <f aca="true">IF(C38="","",IF(I38="Done","Done",G38-TODAY()))</f>
        <v/>
      </c>
      <c r="K38" s="23"/>
    </row>
    <row r="39" customFormat="false" ht="19.5" hidden="false" customHeight="true" outlineLevel="0" collapsed="false">
      <c r="A39" s="20" t="str">
        <f aca="false">IF(C39="","",ROW()-2)</f>
        <v/>
      </c>
      <c r="B39" s="34"/>
      <c r="C39" s="34"/>
      <c r="D39" s="20"/>
      <c r="E39" s="34"/>
      <c r="F39" s="20"/>
      <c r="G39" s="29"/>
      <c r="H39" s="34"/>
      <c r="I39" s="20"/>
      <c r="J39" s="20" t="str">
        <f aca="true">IF(C39="","",IF(I39="Done","Done",G39-TODAY()))</f>
        <v/>
      </c>
      <c r="K39" s="20"/>
    </row>
    <row r="40" customFormat="false" ht="19.5" hidden="false" customHeight="true" outlineLevel="0" collapsed="false">
      <c r="A40" s="23" t="str">
        <f aca="false">IF(C40="","",ROW()-2)</f>
        <v/>
      </c>
      <c r="B40" s="37"/>
      <c r="C40" s="37"/>
      <c r="D40" s="23"/>
      <c r="E40" s="37"/>
      <c r="F40" s="23"/>
      <c r="G40" s="31"/>
      <c r="H40" s="37"/>
      <c r="I40" s="23"/>
      <c r="J40" s="23" t="str">
        <f aca="true">IF(C40="","",IF(I40="Done","Done",G40-TODAY()))</f>
        <v/>
      </c>
      <c r="K40" s="23"/>
    </row>
    <row r="41" customFormat="false" ht="19.5" hidden="false" customHeight="true" outlineLevel="0" collapsed="false">
      <c r="A41" s="20" t="str">
        <f aca="false">IF(C41="","",ROW()-2)</f>
        <v/>
      </c>
      <c r="B41" s="34"/>
      <c r="C41" s="34"/>
      <c r="D41" s="20"/>
      <c r="E41" s="34"/>
      <c r="F41" s="20"/>
      <c r="G41" s="29"/>
      <c r="H41" s="34"/>
      <c r="I41" s="20"/>
      <c r="J41" s="20" t="str">
        <f aca="true">IF(C41="","",IF(I41="Done","Done",G41-TODAY()))</f>
        <v/>
      </c>
      <c r="K41" s="20"/>
    </row>
    <row r="42" customFormat="false" ht="19.5" hidden="false" customHeight="true" outlineLevel="0" collapsed="false">
      <c r="A42" s="23" t="str">
        <f aca="false">IF(C42="","",ROW()-2)</f>
        <v/>
      </c>
      <c r="B42" s="37"/>
      <c r="C42" s="37"/>
      <c r="D42" s="23"/>
      <c r="E42" s="37"/>
      <c r="F42" s="23"/>
      <c r="G42" s="31"/>
      <c r="H42" s="37"/>
      <c r="I42" s="23"/>
      <c r="J42" s="23" t="str">
        <f aca="true">IF(C42="","",IF(I42="Done","Done",G42-TODAY()))</f>
        <v/>
      </c>
      <c r="K42" s="23"/>
    </row>
    <row r="43" customFormat="false" ht="19.5" hidden="false" customHeight="true" outlineLevel="0" collapsed="false">
      <c r="A43" s="20" t="str">
        <f aca="false">IF(C43="","",ROW()-2)</f>
        <v/>
      </c>
      <c r="B43" s="34"/>
      <c r="C43" s="34"/>
      <c r="D43" s="20"/>
      <c r="E43" s="34"/>
      <c r="F43" s="20"/>
      <c r="G43" s="29"/>
      <c r="H43" s="34"/>
      <c r="I43" s="20"/>
      <c r="J43" s="20" t="str">
        <f aca="true">IF(C43="","",IF(I43="Done","Done",G43-TODAY()))</f>
        <v/>
      </c>
      <c r="K43" s="20"/>
    </row>
    <row r="44" customFormat="false" ht="19.5" hidden="false" customHeight="true" outlineLevel="0" collapsed="false">
      <c r="A44" s="23" t="str">
        <f aca="false">IF(C44="","",ROW()-2)</f>
        <v/>
      </c>
      <c r="B44" s="37"/>
      <c r="C44" s="37"/>
      <c r="D44" s="23"/>
      <c r="E44" s="37"/>
      <c r="F44" s="23"/>
      <c r="G44" s="31"/>
      <c r="H44" s="37"/>
      <c r="I44" s="23"/>
      <c r="J44" s="23" t="str">
        <f aca="true">IF(C44="","",IF(I44="Done","Done",G44-TODAY()))</f>
        <v/>
      </c>
      <c r="K44" s="23"/>
    </row>
    <row r="45" customFormat="false" ht="19.5" hidden="false" customHeight="true" outlineLevel="0" collapsed="false">
      <c r="A45" s="20" t="str">
        <f aca="false">IF(C45="","",ROW()-2)</f>
        <v/>
      </c>
      <c r="B45" s="34"/>
      <c r="C45" s="34"/>
      <c r="D45" s="20"/>
      <c r="E45" s="34"/>
      <c r="F45" s="20"/>
      <c r="G45" s="29"/>
      <c r="H45" s="34"/>
      <c r="I45" s="20"/>
      <c r="J45" s="20" t="str">
        <f aca="true">IF(C45="","",IF(I45="Done","Done",G45-TODAY()))</f>
        <v/>
      </c>
      <c r="K45" s="20"/>
    </row>
    <row r="46" customFormat="false" ht="19.5" hidden="false" customHeight="true" outlineLevel="0" collapsed="false">
      <c r="A46" s="23" t="str">
        <f aca="false">IF(C46="","",ROW()-2)</f>
        <v/>
      </c>
      <c r="B46" s="37"/>
      <c r="C46" s="37"/>
      <c r="D46" s="23"/>
      <c r="E46" s="37"/>
      <c r="F46" s="23"/>
      <c r="G46" s="31"/>
      <c r="H46" s="37"/>
      <c r="I46" s="23"/>
      <c r="J46" s="23" t="str">
        <f aca="true">IF(C46="","",IF(I46="Done","Done",G46-TODAY()))</f>
        <v/>
      </c>
      <c r="K46" s="23"/>
    </row>
    <row r="47" customFormat="false" ht="19.5" hidden="false" customHeight="true" outlineLevel="0" collapsed="false">
      <c r="A47" s="20" t="str">
        <f aca="false">IF(C47="","",ROW()-2)</f>
        <v/>
      </c>
      <c r="B47" s="34"/>
      <c r="C47" s="34"/>
      <c r="D47" s="20"/>
      <c r="E47" s="34"/>
      <c r="F47" s="20"/>
      <c r="G47" s="29"/>
      <c r="H47" s="34"/>
      <c r="I47" s="20"/>
      <c r="J47" s="20" t="str">
        <f aca="true">IF(C47="","",IF(I47="Done","Done",G47-TODAY()))</f>
        <v/>
      </c>
      <c r="K47" s="20"/>
    </row>
    <row r="48" customFormat="false" ht="19.5" hidden="false" customHeight="true" outlineLevel="0" collapsed="false">
      <c r="A48" s="23" t="str">
        <f aca="false">IF(C48="","",ROW()-2)</f>
        <v/>
      </c>
      <c r="B48" s="37"/>
      <c r="C48" s="37"/>
      <c r="D48" s="23"/>
      <c r="E48" s="37"/>
      <c r="F48" s="23"/>
      <c r="G48" s="31"/>
      <c r="H48" s="37"/>
      <c r="I48" s="23"/>
      <c r="J48" s="23" t="str">
        <f aca="true">IF(C48="","",IF(I48="Done","Done",G48-TODAY()))</f>
        <v/>
      </c>
      <c r="K48" s="23"/>
    </row>
    <row r="49" customFormat="false" ht="19.5" hidden="false" customHeight="true" outlineLevel="0" collapsed="false">
      <c r="A49" s="20" t="str">
        <f aca="false">IF(C49="","",ROW()-2)</f>
        <v/>
      </c>
      <c r="B49" s="34"/>
      <c r="C49" s="34"/>
      <c r="D49" s="20"/>
      <c r="E49" s="34"/>
      <c r="F49" s="20"/>
      <c r="G49" s="29"/>
      <c r="H49" s="34"/>
      <c r="I49" s="20"/>
      <c r="J49" s="20" t="str">
        <f aca="true">IF(C49="","",IF(I49="Done","Done",G49-TODAY()))</f>
        <v/>
      </c>
      <c r="K49" s="20"/>
    </row>
    <row r="50" customFormat="false" ht="19.5" hidden="false" customHeight="true" outlineLevel="0" collapsed="false">
      <c r="A50" s="23" t="str">
        <f aca="false">IF(C50="","",ROW()-2)</f>
        <v/>
      </c>
      <c r="B50" s="37"/>
      <c r="C50" s="37"/>
      <c r="D50" s="23"/>
      <c r="E50" s="37"/>
      <c r="F50" s="23"/>
      <c r="G50" s="31"/>
      <c r="H50" s="37"/>
      <c r="I50" s="23"/>
      <c r="J50" s="23" t="str">
        <f aca="true">IF(C50="","",IF(I50="Done","Done",G50-TODAY()))</f>
        <v/>
      </c>
      <c r="K50" s="23"/>
    </row>
    <row r="51" customFormat="false" ht="19.5" hidden="false" customHeight="true" outlineLevel="0" collapsed="false">
      <c r="A51" s="20" t="str">
        <f aca="false">IF(C51="","",ROW()-2)</f>
        <v/>
      </c>
      <c r="B51" s="34"/>
      <c r="C51" s="34"/>
      <c r="D51" s="20"/>
      <c r="E51" s="34"/>
      <c r="F51" s="20"/>
      <c r="G51" s="29"/>
      <c r="H51" s="34"/>
      <c r="I51" s="20"/>
      <c r="J51" s="20" t="str">
        <f aca="true">IF(C51="","",IF(I51="Done","Done",G51-TODAY()))</f>
        <v/>
      </c>
      <c r="K51" s="20"/>
    </row>
    <row r="52" customFormat="false" ht="19.5" hidden="false" customHeight="true" outlineLevel="0" collapsed="false">
      <c r="A52" s="23" t="str">
        <f aca="false">IF(C52="","",ROW()-2)</f>
        <v/>
      </c>
      <c r="B52" s="37"/>
      <c r="C52" s="37"/>
      <c r="D52" s="23"/>
      <c r="E52" s="37"/>
      <c r="F52" s="23"/>
      <c r="G52" s="31"/>
      <c r="H52" s="37"/>
      <c r="I52" s="23"/>
      <c r="J52" s="23" t="str">
        <f aca="true">IF(C52="","",IF(I52="Done","Done",G52-TODAY()))</f>
        <v/>
      </c>
      <c r="K52" s="23"/>
    </row>
    <row r="53" customFormat="false" ht="19.5" hidden="false" customHeight="true" outlineLevel="0" collapsed="false">
      <c r="A53" s="20" t="str">
        <f aca="false">IF(C53="","",ROW()-2)</f>
        <v/>
      </c>
      <c r="B53" s="34"/>
      <c r="C53" s="34"/>
      <c r="D53" s="20"/>
      <c r="E53" s="34"/>
      <c r="F53" s="20"/>
      <c r="G53" s="29"/>
      <c r="H53" s="34"/>
      <c r="I53" s="20"/>
      <c r="J53" s="20" t="str">
        <f aca="true">IF(C53="","",IF(I53="Done","Done",G53-TODAY()))</f>
        <v/>
      </c>
      <c r="K53" s="20"/>
    </row>
    <row r="54" customFormat="false" ht="19.5" hidden="false" customHeight="true" outlineLevel="0" collapsed="false">
      <c r="A54" s="23" t="str">
        <f aca="false">IF(C54="","",ROW()-2)</f>
        <v/>
      </c>
      <c r="B54" s="37"/>
      <c r="C54" s="37"/>
      <c r="D54" s="23"/>
      <c r="E54" s="37"/>
      <c r="F54" s="23"/>
      <c r="G54" s="31"/>
      <c r="H54" s="37"/>
      <c r="I54" s="23"/>
      <c r="J54" s="23" t="str">
        <f aca="true">IF(C54="","",IF(I54="Done","Done",G54-TODAY()))</f>
        <v/>
      </c>
      <c r="K54" s="23"/>
    </row>
    <row r="55" customFormat="false" ht="19.5" hidden="false" customHeight="true" outlineLevel="0" collapsed="false">
      <c r="A55" s="20" t="str">
        <f aca="false">IF(C55="","",ROW()-2)</f>
        <v/>
      </c>
      <c r="B55" s="34"/>
      <c r="C55" s="34"/>
      <c r="D55" s="20"/>
      <c r="E55" s="34"/>
      <c r="F55" s="20"/>
      <c r="G55" s="29"/>
      <c r="H55" s="34"/>
      <c r="I55" s="20"/>
      <c r="J55" s="20" t="str">
        <f aca="true">IF(C55="","",IF(I55="Done","Done",G55-TODAY()))</f>
        <v/>
      </c>
      <c r="K55" s="20"/>
    </row>
    <row r="56" customFormat="false" ht="19.5" hidden="false" customHeight="true" outlineLevel="0" collapsed="false">
      <c r="A56" s="23" t="str">
        <f aca="false">IF(C56="","",ROW()-2)</f>
        <v/>
      </c>
      <c r="B56" s="37"/>
      <c r="C56" s="37"/>
      <c r="D56" s="23"/>
      <c r="E56" s="37"/>
      <c r="F56" s="23"/>
      <c r="G56" s="31"/>
      <c r="H56" s="37"/>
      <c r="I56" s="23"/>
      <c r="J56" s="23" t="str">
        <f aca="true">IF(C56="","",IF(I56="Done","Done",G56-TODAY()))</f>
        <v/>
      </c>
      <c r="K56" s="23"/>
    </row>
    <row r="57" customFormat="false" ht="19.5" hidden="false" customHeight="true" outlineLevel="0" collapsed="false">
      <c r="A57" s="20" t="str">
        <f aca="false">IF(C57="","",ROW()-2)</f>
        <v/>
      </c>
      <c r="B57" s="34"/>
      <c r="C57" s="34"/>
      <c r="D57" s="20"/>
      <c r="E57" s="34"/>
      <c r="F57" s="20"/>
      <c r="G57" s="29"/>
      <c r="H57" s="34"/>
      <c r="I57" s="20"/>
      <c r="J57" s="20" t="str">
        <f aca="true">IF(C57="","",IF(I57="Done","Done",G57-TODAY()))</f>
        <v/>
      </c>
      <c r="K57" s="20"/>
    </row>
    <row r="58" customFormat="false" ht="19.5" hidden="false" customHeight="true" outlineLevel="0" collapsed="false">
      <c r="A58" s="23" t="str">
        <f aca="false">IF(C58="","",ROW()-2)</f>
        <v/>
      </c>
      <c r="B58" s="37"/>
      <c r="C58" s="37"/>
      <c r="D58" s="23"/>
      <c r="E58" s="37"/>
      <c r="F58" s="23"/>
      <c r="G58" s="31"/>
      <c r="H58" s="37"/>
      <c r="I58" s="23"/>
      <c r="J58" s="23" t="str">
        <f aca="true">IF(C58="","",IF(I58="Done","Done",G58-TODAY()))</f>
        <v/>
      </c>
      <c r="K58" s="23"/>
    </row>
    <row r="59" customFormat="false" ht="19.5" hidden="false" customHeight="true" outlineLevel="0" collapsed="false">
      <c r="A59" s="20" t="str">
        <f aca="false">IF(C59="","",ROW()-2)</f>
        <v/>
      </c>
      <c r="B59" s="34"/>
      <c r="C59" s="34"/>
      <c r="D59" s="20"/>
      <c r="E59" s="34"/>
      <c r="F59" s="20"/>
      <c r="G59" s="29"/>
      <c r="H59" s="34"/>
      <c r="I59" s="20"/>
      <c r="J59" s="20" t="str">
        <f aca="true">IF(C59="","",IF(I59="Done","Done",G59-TODAY()))</f>
        <v/>
      </c>
      <c r="K59" s="20"/>
    </row>
    <row r="60" customFormat="false" ht="19.5" hidden="false" customHeight="true" outlineLevel="0" collapsed="false">
      <c r="A60" s="23" t="str">
        <f aca="false">IF(C60="","",ROW()-2)</f>
        <v/>
      </c>
      <c r="B60" s="37"/>
      <c r="C60" s="37"/>
      <c r="D60" s="23"/>
      <c r="E60" s="37"/>
      <c r="F60" s="23"/>
      <c r="G60" s="31"/>
      <c r="H60" s="37"/>
      <c r="I60" s="23"/>
      <c r="J60" s="23" t="str">
        <f aca="true">IF(C60="","",IF(I60="Done","Done",G60-TODAY()))</f>
        <v/>
      </c>
      <c r="K60" s="23"/>
    </row>
    <row r="61" customFormat="false" ht="19.5" hidden="false" customHeight="true" outlineLevel="0" collapsed="false">
      <c r="A61" s="20" t="str">
        <f aca="false">IF(C61="","",ROW()-2)</f>
        <v/>
      </c>
      <c r="B61" s="34"/>
      <c r="C61" s="34"/>
      <c r="D61" s="20"/>
      <c r="E61" s="34"/>
      <c r="F61" s="20"/>
      <c r="G61" s="29"/>
      <c r="H61" s="34"/>
      <c r="I61" s="20"/>
      <c r="J61" s="20" t="str">
        <f aca="true">IF(C61="","",IF(I61="Done","Done",G61-TODAY()))</f>
        <v/>
      </c>
      <c r="K61" s="20"/>
    </row>
    <row r="62" customFormat="false" ht="19.5" hidden="false" customHeight="true" outlineLevel="0" collapsed="false">
      <c r="A62" s="23" t="str">
        <f aca="false">IF(C62="","",ROW()-2)</f>
        <v/>
      </c>
      <c r="B62" s="37"/>
      <c r="C62" s="37"/>
      <c r="D62" s="23"/>
      <c r="E62" s="37"/>
      <c r="F62" s="23"/>
      <c r="G62" s="31"/>
      <c r="H62" s="37"/>
      <c r="I62" s="23"/>
      <c r="J62" s="23" t="str">
        <f aca="true">IF(C62="","",IF(I62="Done","Done",G62-TODAY()))</f>
        <v/>
      </c>
      <c r="K62" s="23"/>
    </row>
    <row r="63" customFormat="false" ht="19.5" hidden="false" customHeight="true" outlineLevel="0" collapsed="false">
      <c r="A63" s="20" t="str">
        <f aca="false">IF(C63="","",ROW()-2)</f>
        <v/>
      </c>
      <c r="B63" s="34"/>
      <c r="C63" s="34"/>
      <c r="D63" s="20"/>
      <c r="E63" s="34"/>
      <c r="F63" s="20"/>
      <c r="G63" s="29"/>
      <c r="H63" s="34"/>
      <c r="I63" s="20"/>
      <c r="J63" s="20" t="str">
        <f aca="true">IF(C63="","",IF(I63="Done","Done",G63-TODAY()))</f>
        <v/>
      </c>
      <c r="K63" s="20"/>
    </row>
    <row r="64" customFormat="false" ht="19.5" hidden="false" customHeight="true" outlineLevel="0" collapsed="false">
      <c r="A64" s="23" t="str">
        <f aca="false">IF(C64="","",ROW()-2)</f>
        <v/>
      </c>
      <c r="B64" s="37"/>
      <c r="C64" s="37"/>
      <c r="D64" s="23"/>
      <c r="E64" s="37"/>
      <c r="F64" s="23"/>
      <c r="G64" s="31"/>
      <c r="H64" s="37"/>
      <c r="I64" s="23"/>
      <c r="J64" s="23" t="str">
        <f aca="true">IF(C64="","",IF(I64="Done","Done",G64-TODAY()))</f>
        <v/>
      </c>
      <c r="K64" s="23"/>
    </row>
    <row r="65" customFormat="false" ht="19.5" hidden="false" customHeight="true" outlineLevel="0" collapsed="false">
      <c r="A65" s="20" t="str">
        <f aca="false">IF(C65="","",ROW()-2)</f>
        <v/>
      </c>
      <c r="B65" s="34"/>
      <c r="C65" s="34"/>
      <c r="D65" s="20"/>
      <c r="E65" s="34"/>
      <c r="F65" s="20"/>
      <c r="G65" s="29"/>
      <c r="H65" s="34"/>
      <c r="I65" s="20"/>
      <c r="J65" s="20" t="str">
        <f aca="true">IF(C65="","",IF(I65="Done","Done",G65-TODAY()))</f>
        <v/>
      </c>
      <c r="K65" s="20"/>
    </row>
    <row r="66" customFormat="false" ht="19.5" hidden="false" customHeight="true" outlineLevel="0" collapsed="false">
      <c r="A66" s="23" t="str">
        <f aca="false">IF(C66="","",ROW()-2)</f>
        <v/>
      </c>
      <c r="B66" s="37"/>
      <c r="C66" s="37"/>
      <c r="D66" s="23"/>
      <c r="E66" s="37"/>
      <c r="F66" s="23"/>
      <c r="G66" s="31"/>
      <c r="H66" s="37"/>
      <c r="I66" s="23"/>
      <c r="J66" s="23" t="str">
        <f aca="true">IF(C66="","",IF(I66="Done","Done",G66-TODAY()))</f>
        <v/>
      </c>
      <c r="K66" s="23"/>
    </row>
    <row r="67" customFormat="false" ht="19.5" hidden="false" customHeight="true" outlineLevel="0" collapsed="false">
      <c r="A67" s="20" t="str">
        <f aca="false">IF(C67="","",ROW()-2)</f>
        <v/>
      </c>
      <c r="B67" s="34"/>
      <c r="C67" s="34"/>
      <c r="D67" s="20"/>
      <c r="E67" s="34"/>
      <c r="F67" s="20"/>
      <c r="G67" s="29"/>
      <c r="H67" s="34"/>
      <c r="I67" s="20"/>
      <c r="J67" s="20" t="str">
        <f aca="true">IF(C67="","",IF(I67="Done","Done",G67-TODAY()))</f>
        <v/>
      </c>
      <c r="K67" s="20"/>
    </row>
    <row r="68" customFormat="false" ht="19.5" hidden="false" customHeight="true" outlineLevel="0" collapsed="false">
      <c r="A68" s="23" t="str">
        <f aca="false">IF(C68="","",ROW()-2)</f>
        <v/>
      </c>
      <c r="B68" s="37"/>
      <c r="C68" s="37"/>
      <c r="D68" s="23"/>
      <c r="E68" s="37"/>
      <c r="F68" s="23"/>
      <c r="G68" s="31"/>
      <c r="H68" s="37"/>
      <c r="I68" s="23"/>
      <c r="J68" s="23" t="str">
        <f aca="true">IF(C68="","",IF(I68="Done","Done",G68-TODAY()))</f>
        <v/>
      </c>
      <c r="K68" s="23"/>
    </row>
    <row r="69" customFormat="false" ht="19.5" hidden="false" customHeight="true" outlineLevel="0" collapsed="false">
      <c r="A69" s="20" t="str">
        <f aca="false">IF(C69="","",ROW()-2)</f>
        <v/>
      </c>
      <c r="B69" s="34"/>
      <c r="C69" s="34"/>
      <c r="D69" s="20"/>
      <c r="E69" s="34"/>
      <c r="F69" s="20"/>
      <c r="G69" s="29"/>
      <c r="H69" s="34"/>
      <c r="I69" s="20"/>
      <c r="J69" s="20" t="str">
        <f aca="true">IF(C69="","",IF(I69="Done","Done",G69-TODAY()))</f>
        <v/>
      </c>
      <c r="K69" s="20"/>
    </row>
    <row r="70" customFormat="false" ht="19.5" hidden="false" customHeight="true" outlineLevel="0" collapsed="false">
      <c r="A70" s="23" t="str">
        <f aca="false">IF(C70="","",ROW()-2)</f>
        <v/>
      </c>
      <c r="B70" s="37"/>
      <c r="C70" s="37"/>
      <c r="D70" s="23"/>
      <c r="E70" s="37"/>
      <c r="F70" s="23"/>
      <c r="G70" s="31"/>
      <c r="H70" s="37"/>
      <c r="I70" s="23"/>
      <c r="J70" s="23" t="str">
        <f aca="true">IF(C70="","",IF(I70="Done","Done",G70-TODAY()))</f>
        <v/>
      </c>
      <c r="K70" s="23"/>
    </row>
    <row r="71" customFormat="false" ht="19.5" hidden="false" customHeight="true" outlineLevel="0" collapsed="false">
      <c r="A71" s="20" t="str">
        <f aca="false">IF(C71="","",ROW()-2)</f>
        <v/>
      </c>
      <c r="B71" s="34"/>
      <c r="C71" s="34"/>
      <c r="D71" s="20"/>
      <c r="E71" s="34"/>
      <c r="F71" s="20"/>
      <c r="G71" s="29"/>
      <c r="H71" s="34"/>
      <c r="I71" s="20"/>
      <c r="J71" s="20" t="str">
        <f aca="true">IF(C71="","",IF(I71="Done","Done",G71-TODAY()))</f>
        <v/>
      </c>
      <c r="K71" s="20"/>
    </row>
    <row r="72" customFormat="false" ht="19.5" hidden="false" customHeight="true" outlineLevel="0" collapsed="false">
      <c r="A72" s="23" t="str">
        <f aca="false">IF(C72="","",ROW()-2)</f>
        <v/>
      </c>
      <c r="B72" s="37"/>
      <c r="C72" s="37"/>
      <c r="D72" s="23"/>
      <c r="E72" s="37"/>
      <c r="F72" s="23"/>
      <c r="G72" s="31"/>
      <c r="H72" s="37"/>
      <c r="I72" s="23"/>
      <c r="J72" s="23" t="str">
        <f aca="true">IF(C72="","",IF(I72="Done","Done",G72-TODAY()))</f>
        <v/>
      </c>
      <c r="K72" s="23"/>
    </row>
    <row r="73" customFormat="false" ht="19.5" hidden="false" customHeight="true" outlineLevel="0" collapsed="false">
      <c r="A73" s="20" t="str">
        <f aca="false">IF(C73="","",ROW()-2)</f>
        <v/>
      </c>
      <c r="B73" s="34"/>
      <c r="C73" s="34"/>
      <c r="D73" s="20"/>
      <c r="E73" s="34"/>
      <c r="F73" s="20"/>
      <c r="G73" s="29"/>
      <c r="H73" s="34"/>
      <c r="I73" s="20"/>
      <c r="J73" s="20" t="str">
        <f aca="true">IF(C73="","",IF(I73="Done","Done",G73-TODAY()))</f>
        <v/>
      </c>
      <c r="K73" s="20"/>
    </row>
    <row r="74" customFormat="false" ht="19.5" hidden="false" customHeight="true" outlineLevel="0" collapsed="false">
      <c r="A74" s="23" t="str">
        <f aca="false">IF(C74="","",ROW()-2)</f>
        <v/>
      </c>
      <c r="B74" s="37"/>
      <c r="C74" s="37"/>
      <c r="D74" s="23"/>
      <c r="E74" s="37"/>
      <c r="F74" s="23"/>
      <c r="G74" s="31"/>
      <c r="H74" s="37"/>
      <c r="I74" s="23"/>
      <c r="J74" s="23" t="str">
        <f aca="true">IF(C74="","",IF(I74="Done","Done",G74-TODAY()))</f>
        <v/>
      </c>
      <c r="K74" s="23"/>
    </row>
    <row r="75" customFormat="false" ht="19.5" hidden="false" customHeight="true" outlineLevel="0" collapsed="false">
      <c r="A75" s="20" t="str">
        <f aca="false">IF(C75="","",ROW()-2)</f>
        <v/>
      </c>
      <c r="B75" s="34"/>
      <c r="C75" s="34"/>
      <c r="D75" s="20"/>
      <c r="E75" s="34"/>
      <c r="F75" s="20"/>
      <c r="G75" s="29"/>
      <c r="H75" s="34"/>
      <c r="I75" s="20"/>
      <c r="J75" s="20" t="str">
        <f aca="true">IF(C75="","",IF(I75="Done","Done",G75-TODAY()))</f>
        <v/>
      </c>
      <c r="K75" s="20"/>
    </row>
    <row r="76" customFormat="false" ht="19.5" hidden="false" customHeight="true" outlineLevel="0" collapsed="false">
      <c r="A76" s="23" t="str">
        <f aca="false">IF(C76="","",ROW()-2)</f>
        <v/>
      </c>
      <c r="B76" s="37"/>
      <c r="C76" s="37"/>
      <c r="D76" s="23"/>
      <c r="E76" s="37"/>
      <c r="F76" s="23"/>
      <c r="G76" s="31"/>
      <c r="H76" s="37"/>
      <c r="I76" s="23"/>
      <c r="J76" s="23" t="str">
        <f aca="true">IF(C76="","",IF(I76="Done","Done",G76-TODAY()))</f>
        <v/>
      </c>
      <c r="K76" s="23"/>
    </row>
    <row r="77" customFormat="false" ht="19.5" hidden="false" customHeight="true" outlineLevel="0" collapsed="false">
      <c r="A77" s="20" t="str">
        <f aca="false">IF(C77="","",ROW()-2)</f>
        <v/>
      </c>
      <c r="B77" s="34"/>
      <c r="C77" s="34"/>
      <c r="D77" s="20"/>
      <c r="E77" s="34"/>
      <c r="F77" s="20"/>
      <c r="G77" s="29"/>
      <c r="H77" s="34"/>
      <c r="I77" s="20"/>
      <c r="J77" s="20" t="str">
        <f aca="true">IF(C77="","",IF(I77="Done","Done",G77-TODAY()))</f>
        <v/>
      </c>
      <c r="K77" s="20"/>
    </row>
    <row r="78" customFormat="false" ht="19.5" hidden="false" customHeight="true" outlineLevel="0" collapsed="false">
      <c r="A78" s="23" t="str">
        <f aca="false">IF(C78="","",ROW()-2)</f>
        <v/>
      </c>
      <c r="B78" s="37"/>
      <c r="C78" s="37"/>
      <c r="D78" s="23"/>
      <c r="E78" s="37"/>
      <c r="F78" s="23"/>
      <c r="G78" s="31"/>
      <c r="H78" s="37"/>
      <c r="I78" s="23"/>
      <c r="J78" s="23" t="str">
        <f aca="true">IF(C78="","",IF(I78="Done","Done",G78-TODAY()))</f>
        <v/>
      </c>
      <c r="K78" s="23"/>
    </row>
    <row r="79" customFormat="false" ht="19.5" hidden="false" customHeight="true" outlineLevel="0" collapsed="false">
      <c r="A79" s="20" t="str">
        <f aca="false">IF(C79="","",ROW()-2)</f>
        <v/>
      </c>
      <c r="B79" s="34"/>
      <c r="C79" s="34"/>
      <c r="D79" s="20"/>
      <c r="E79" s="34"/>
      <c r="F79" s="20"/>
      <c r="G79" s="29"/>
      <c r="H79" s="34"/>
      <c r="I79" s="20"/>
      <c r="J79" s="20" t="str">
        <f aca="true">IF(C79="","",IF(I79="Done","Done",G79-TODAY()))</f>
        <v/>
      </c>
      <c r="K79" s="20"/>
    </row>
    <row r="80" customFormat="false" ht="19.5" hidden="false" customHeight="true" outlineLevel="0" collapsed="false">
      <c r="A80" s="23" t="str">
        <f aca="false">IF(C80="","",ROW()-2)</f>
        <v/>
      </c>
      <c r="B80" s="37"/>
      <c r="C80" s="37"/>
      <c r="D80" s="23"/>
      <c r="E80" s="37"/>
      <c r="F80" s="23"/>
      <c r="G80" s="31"/>
      <c r="H80" s="37"/>
      <c r="I80" s="23"/>
      <c r="J80" s="23" t="str">
        <f aca="true">IF(C80="","",IF(I80="Done","Done",G80-TODAY()))</f>
        <v/>
      </c>
      <c r="K80" s="23"/>
    </row>
    <row r="81" customFormat="false" ht="19.5" hidden="false" customHeight="true" outlineLevel="0" collapsed="false">
      <c r="A81" s="20" t="str">
        <f aca="false">IF(C81="","",ROW()-2)</f>
        <v/>
      </c>
      <c r="B81" s="34"/>
      <c r="C81" s="34"/>
      <c r="D81" s="20"/>
      <c r="E81" s="34"/>
      <c r="F81" s="20"/>
      <c r="G81" s="29"/>
      <c r="H81" s="34"/>
      <c r="I81" s="20"/>
      <c r="J81" s="20" t="str">
        <f aca="true">IF(C81="","",IF(I81="Done","Done",G81-TODAY()))</f>
        <v/>
      </c>
      <c r="K81" s="20"/>
    </row>
    <row r="82" customFormat="false" ht="19.5" hidden="false" customHeight="true" outlineLevel="0" collapsed="false">
      <c r="A82" s="23" t="str">
        <f aca="false">IF(C82="","",ROW()-2)</f>
        <v/>
      </c>
      <c r="B82" s="37"/>
      <c r="C82" s="37"/>
      <c r="D82" s="23"/>
      <c r="E82" s="37"/>
      <c r="F82" s="23"/>
      <c r="G82" s="31"/>
      <c r="H82" s="37"/>
      <c r="I82" s="23"/>
      <c r="J82" s="23" t="str">
        <f aca="true">IF(C82="","",IF(I82="Done","Done",G82-TODAY()))</f>
        <v/>
      </c>
      <c r="K82" s="23"/>
    </row>
    <row r="83" customFormat="false" ht="19.5" hidden="false" customHeight="true" outlineLevel="0" collapsed="false">
      <c r="A83" s="20" t="str">
        <f aca="false">IF(C83="","",ROW()-2)</f>
        <v/>
      </c>
      <c r="B83" s="34"/>
      <c r="C83" s="34"/>
      <c r="D83" s="20"/>
      <c r="E83" s="34"/>
      <c r="F83" s="20"/>
      <c r="G83" s="29"/>
      <c r="H83" s="34"/>
      <c r="I83" s="20"/>
      <c r="J83" s="20" t="str">
        <f aca="true">IF(C83="","",IF(I83="Done","Done",G83-TODAY()))</f>
        <v/>
      </c>
      <c r="K83" s="20"/>
    </row>
    <row r="84" customFormat="false" ht="19.5" hidden="false" customHeight="true" outlineLevel="0" collapsed="false">
      <c r="A84" s="23" t="str">
        <f aca="false">IF(C84="","",ROW()-2)</f>
        <v/>
      </c>
      <c r="B84" s="37"/>
      <c r="C84" s="37"/>
      <c r="D84" s="23"/>
      <c r="E84" s="37"/>
      <c r="F84" s="23"/>
      <c r="G84" s="31"/>
      <c r="H84" s="37"/>
      <c r="I84" s="23"/>
      <c r="J84" s="23" t="str">
        <f aca="true">IF(C84="","",IF(I84="Done","Done",G84-TODAY()))</f>
        <v/>
      </c>
      <c r="K84" s="23"/>
    </row>
    <row r="85" customFormat="false" ht="19.5" hidden="false" customHeight="true" outlineLevel="0" collapsed="false">
      <c r="A85" s="20" t="str">
        <f aca="false">IF(C85="","",ROW()-2)</f>
        <v/>
      </c>
      <c r="B85" s="34"/>
      <c r="C85" s="34"/>
      <c r="D85" s="20"/>
      <c r="E85" s="34"/>
      <c r="F85" s="20"/>
      <c r="G85" s="29"/>
      <c r="H85" s="34"/>
      <c r="I85" s="20"/>
      <c r="J85" s="20" t="str">
        <f aca="true">IF(C85="","",IF(I85="Done","Done",G85-TODAY()))</f>
        <v/>
      </c>
      <c r="K85" s="20"/>
    </row>
    <row r="86" customFormat="false" ht="19.5" hidden="false" customHeight="true" outlineLevel="0" collapsed="false">
      <c r="A86" s="23" t="str">
        <f aca="false">IF(C86="","",ROW()-2)</f>
        <v/>
      </c>
      <c r="B86" s="37"/>
      <c r="C86" s="37"/>
      <c r="D86" s="23"/>
      <c r="E86" s="37"/>
      <c r="F86" s="23"/>
      <c r="G86" s="31"/>
      <c r="H86" s="37"/>
      <c r="I86" s="23"/>
      <c r="J86" s="23" t="str">
        <f aca="true">IF(C86="","",IF(I86="Done","Done",G86-TODAY()))</f>
        <v/>
      </c>
      <c r="K86" s="23"/>
    </row>
    <row r="87" customFormat="false" ht="19.5" hidden="false" customHeight="true" outlineLevel="0" collapsed="false">
      <c r="A87" s="20" t="str">
        <f aca="false">IF(C87="","",ROW()-2)</f>
        <v/>
      </c>
      <c r="B87" s="34"/>
      <c r="C87" s="34"/>
      <c r="D87" s="20"/>
      <c r="E87" s="34"/>
      <c r="F87" s="20"/>
      <c r="G87" s="29"/>
      <c r="H87" s="34"/>
      <c r="I87" s="20"/>
      <c r="J87" s="20" t="str">
        <f aca="true">IF(C87="","",IF(I87="Done","Done",G87-TODAY()))</f>
        <v/>
      </c>
      <c r="K87" s="20"/>
    </row>
    <row r="88" customFormat="false" ht="19.5" hidden="false" customHeight="true" outlineLevel="0" collapsed="false">
      <c r="A88" s="23" t="str">
        <f aca="false">IF(C88="","",ROW()-2)</f>
        <v/>
      </c>
      <c r="B88" s="37"/>
      <c r="C88" s="37"/>
      <c r="D88" s="23"/>
      <c r="E88" s="37"/>
      <c r="F88" s="23"/>
      <c r="G88" s="31"/>
      <c r="H88" s="37"/>
      <c r="I88" s="23"/>
      <c r="J88" s="23" t="str">
        <f aca="true">IF(C88="","",IF(I88="Done","Done",G88-TODAY()))</f>
        <v/>
      </c>
      <c r="K88" s="23"/>
    </row>
    <row r="89" customFormat="false" ht="19.5" hidden="false" customHeight="true" outlineLevel="0" collapsed="false">
      <c r="A89" s="20" t="str">
        <f aca="false">IF(C89="","",ROW()-2)</f>
        <v/>
      </c>
      <c r="B89" s="34"/>
      <c r="C89" s="34"/>
      <c r="D89" s="20"/>
      <c r="E89" s="34"/>
      <c r="F89" s="20"/>
      <c r="G89" s="29"/>
      <c r="H89" s="34"/>
      <c r="I89" s="20"/>
      <c r="J89" s="20" t="str">
        <f aca="true">IF(C89="","",IF(I89="Done","Done",G89-TODAY()))</f>
        <v/>
      </c>
      <c r="K89" s="20"/>
    </row>
    <row r="90" customFormat="false" ht="19.5" hidden="false" customHeight="true" outlineLevel="0" collapsed="false">
      <c r="A90" s="23" t="str">
        <f aca="false">IF(C90="","",ROW()-2)</f>
        <v/>
      </c>
      <c r="B90" s="37"/>
      <c r="C90" s="37"/>
      <c r="D90" s="23"/>
      <c r="E90" s="37"/>
      <c r="F90" s="23"/>
      <c r="G90" s="31"/>
      <c r="H90" s="37"/>
      <c r="I90" s="23"/>
      <c r="J90" s="23" t="str">
        <f aca="true">IF(C90="","",IF(I90="Done","Done",G90-TODAY()))</f>
        <v/>
      </c>
      <c r="K90" s="23"/>
    </row>
    <row r="91" customFormat="false" ht="19.5" hidden="false" customHeight="true" outlineLevel="0" collapsed="false">
      <c r="A91" s="20" t="str">
        <f aca="false">IF(C91="","",ROW()-2)</f>
        <v/>
      </c>
      <c r="B91" s="34"/>
      <c r="C91" s="34"/>
      <c r="D91" s="20"/>
      <c r="E91" s="34"/>
      <c r="F91" s="20"/>
      <c r="G91" s="29"/>
      <c r="H91" s="34"/>
      <c r="I91" s="20"/>
      <c r="J91" s="20" t="str">
        <f aca="true">IF(C91="","",IF(I91="Done","Done",G91-TODAY()))</f>
        <v/>
      </c>
      <c r="K91" s="20"/>
    </row>
    <row r="92" customFormat="false" ht="19.5" hidden="false" customHeight="true" outlineLevel="0" collapsed="false">
      <c r="A92" s="23" t="str">
        <f aca="false">IF(C92="","",ROW()-2)</f>
        <v/>
      </c>
      <c r="B92" s="37"/>
      <c r="C92" s="37"/>
      <c r="D92" s="23"/>
      <c r="E92" s="37"/>
      <c r="F92" s="23"/>
      <c r="G92" s="31"/>
      <c r="H92" s="37"/>
      <c r="I92" s="23"/>
      <c r="J92" s="23" t="str">
        <f aca="true">IF(C92="","",IF(I92="Done","Done",G92-TODAY()))</f>
        <v/>
      </c>
      <c r="K92" s="23"/>
    </row>
    <row r="93" customFormat="false" ht="19.5" hidden="false" customHeight="true" outlineLevel="0" collapsed="false">
      <c r="A93" s="20" t="str">
        <f aca="false">IF(C93="","",ROW()-2)</f>
        <v/>
      </c>
      <c r="B93" s="34"/>
      <c r="C93" s="34"/>
      <c r="D93" s="20"/>
      <c r="E93" s="34"/>
      <c r="F93" s="20"/>
      <c r="G93" s="29"/>
      <c r="H93" s="34"/>
      <c r="I93" s="20"/>
      <c r="J93" s="20" t="str">
        <f aca="true">IF(C93="","",IF(I93="Done","Done",G93-TODAY()))</f>
        <v/>
      </c>
      <c r="K93" s="20"/>
    </row>
    <row r="94" customFormat="false" ht="19.5" hidden="false" customHeight="true" outlineLevel="0" collapsed="false">
      <c r="A94" s="23" t="str">
        <f aca="false">IF(C94="","",ROW()-2)</f>
        <v/>
      </c>
      <c r="B94" s="37"/>
      <c r="C94" s="37"/>
      <c r="D94" s="23"/>
      <c r="E94" s="37"/>
      <c r="F94" s="23"/>
      <c r="G94" s="31"/>
      <c r="H94" s="37"/>
      <c r="I94" s="23"/>
      <c r="J94" s="23" t="str">
        <f aca="true">IF(C94="","",IF(I94="Done","Done",G94-TODAY()))</f>
        <v/>
      </c>
      <c r="K94" s="23"/>
    </row>
    <row r="95" customFormat="false" ht="19.5" hidden="false" customHeight="true" outlineLevel="0" collapsed="false">
      <c r="A95" s="20" t="str">
        <f aca="false">IF(C95="","",ROW()-2)</f>
        <v/>
      </c>
      <c r="B95" s="34"/>
      <c r="C95" s="34"/>
      <c r="D95" s="20"/>
      <c r="E95" s="34"/>
      <c r="F95" s="20"/>
      <c r="G95" s="29"/>
      <c r="H95" s="34"/>
      <c r="I95" s="20"/>
      <c r="J95" s="20" t="str">
        <f aca="true">IF(C95="","",IF(I95="Done","Done",G95-TODAY()))</f>
        <v/>
      </c>
      <c r="K95" s="20"/>
    </row>
    <row r="96" customFormat="false" ht="19.5" hidden="false" customHeight="true" outlineLevel="0" collapsed="false">
      <c r="A96" s="23" t="str">
        <f aca="false">IF(C96="","",ROW()-2)</f>
        <v/>
      </c>
      <c r="B96" s="37"/>
      <c r="C96" s="37"/>
      <c r="D96" s="23"/>
      <c r="E96" s="37"/>
      <c r="F96" s="23"/>
      <c r="G96" s="31"/>
      <c r="H96" s="37"/>
      <c r="I96" s="23"/>
      <c r="J96" s="23" t="str">
        <f aca="true">IF(C96="","",IF(I96="Done","Done",G96-TODAY()))</f>
        <v/>
      </c>
      <c r="K96" s="23"/>
    </row>
    <row r="97" customFormat="false" ht="19.5" hidden="false" customHeight="true" outlineLevel="0" collapsed="false">
      <c r="A97" s="20" t="str">
        <f aca="false">IF(C97="","",ROW()-2)</f>
        <v/>
      </c>
      <c r="B97" s="34"/>
      <c r="C97" s="34"/>
      <c r="D97" s="20"/>
      <c r="E97" s="34"/>
      <c r="F97" s="20"/>
      <c r="G97" s="29"/>
      <c r="H97" s="34"/>
      <c r="I97" s="20"/>
      <c r="J97" s="20" t="str">
        <f aca="true">IF(C97="","",IF(I97="Done","Done",G97-TODAY()))</f>
        <v/>
      </c>
      <c r="K97" s="20"/>
    </row>
    <row r="98" customFormat="false" ht="19.5" hidden="false" customHeight="true" outlineLevel="0" collapsed="false">
      <c r="A98" s="23" t="str">
        <f aca="false">IF(C98="","",ROW()-2)</f>
        <v/>
      </c>
      <c r="B98" s="37"/>
      <c r="C98" s="37"/>
      <c r="D98" s="23"/>
      <c r="E98" s="37"/>
      <c r="F98" s="23"/>
      <c r="G98" s="31"/>
      <c r="H98" s="37"/>
      <c r="I98" s="23"/>
      <c r="J98" s="23" t="str">
        <f aca="true">IF(C98="","",IF(I98="Done","Done",G98-TODAY()))</f>
        <v/>
      </c>
      <c r="K98" s="23"/>
    </row>
    <row r="99" customFormat="false" ht="19.5" hidden="false" customHeight="true" outlineLevel="0" collapsed="false">
      <c r="A99" s="20" t="str">
        <f aca="false">IF(C99="","",ROW()-2)</f>
        <v/>
      </c>
      <c r="B99" s="34"/>
      <c r="C99" s="34"/>
      <c r="D99" s="20"/>
      <c r="E99" s="34"/>
      <c r="F99" s="20"/>
      <c r="G99" s="29"/>
      <c r="H99" s="34"/>
      <c r="I99" s="20"/>
      <c r="J99" s="20" t="str">
        <f aca="true">IF(C99="","",IF(I99="Done","Done",G99-TODAY()))</f>
        <v/>
      </c>
      <c r="K99" s="20"/>
    </row>
    <row r="100" customFormat="false" ht="19.5" hidden="false" customHeight="true" outlineLevel="0" collapsed="false">
      <c r="A100" s="23" t="str">
        <f aca="false">IF(C100="","",ROW()-2)</f>
        <v/>
      </c>
      <c r="B100" s="37"/>
      <c r="C100" s="37"/>
      <c r="D100" s="23"/>
      <c r="E100" s="37"/>
      <c r="F100" s="23"/>
      <c r="G100" s="31"/>
      <c r="H100" s="37"/>
      <c r="I100" s="23"/>
      <c r="J100" s="23" t="str">
        <f aca="true">IF(C100="","",IF(I100="Done","Done",G100-TODAY()))</f>
        <v/>
      </c>
      <c r="K100" s="23"/>
    </row>
    <row r="101" customFormat="false" ht="19.5" hidden="false" customHeight="true" outlineLevel="0" collapsed="false">
      <c r="A101" s="20" t="str">
        <f aca="false">IF(C101="","",ROW()-2)</f>
        <v/>
      </c>
      <c r="B101" s="34"/>
      <c r="C101" s="34"/>
      <c r="D101" s="20"/>
      <c r="E101" s="34"/>
      <c r="F101" s="20"/>
      <c r="G101" s="29"/>
      <c r="H101" s="34"/>
      <c r="I101" s="20"/>
      <c r="J101" s="20" t="str">
        <f aca="true">IF(C101="","",IF(I101="Done","Done",G101-TODAY()))</f>
        <v/>
      </c>
      <c r="K101" s="20"/>
    </row>
    <row r="102" customFormat="false" ht="19.5" hidden="false" customHeight="true" outlineLevel="0" collapsed="false">
      <c r="A102" s="23" t="str">
        <f aca="false">IF(C102="","",ROW()-2)</f>
        <v/>
      </c>
      <c r="B102" s="37"/>
      <c r="C102" s="37"/>
      <c r="D102" s="23"/>
      <c r="E102" s="37"/>
      <c r="F102" s="23"/>
      <c r="G102" s="31"/>
      <c r="H102" s="37"/>
      <c r="I102" s="23"/>
      <c r="J102" s="23" t="str">
        <f aca="true">IF(C102="","",IF(I102="Done","Done",G102-TODAY()))</f>
        <v/>
      </c>
      <c r="K102" s="23"/>
    </row>
    <row r="103" customFormat="false" ht="19.5" hidden="false" customHeight="true" outlineLevel="0" collapsed="false">
      <c r="A103" s="20" t="str">
        <f aca="false">IF(C103="","",ROW()-2)</f>
        <v/>
      </c>
      <c r="B103" s="34"/>
      <c r="C103" s="34"/>
      <c r="D103" s="20"/>
      <c r="E103" s="34"/>
      <c r="F103" s="20"/>
      <c r="G103" s="29"/>
      <c r="H103" s="34"/>
      <c r="I103" s="20"/>
      <c r="J103" s="20" t="str">
        <f aca="true">IF(C103="","",IF(I103="Done","Done",G103-TODAY()))</f>
        <v/>
      </c>
      <c r="K103" s="20"/>
    </row>
    <row r="104" customFormat="false" ht="19.5" hidden="false" customHeight="true" outlineLevel="0" collapsed="false">
      <c r="A104" s="23" t="str">
        <f aca="false">IF(C104="","",ROW()-2)</f>
        <v/>
      </c>
      <c r="B104" s="37"/>
      <c r="C104" s="37"/>
      <c r="D104" s="23"/>
      <c r="E104" s="37"/>
      <c r="F104" s="23"/>
      <c r="G104" s="31"/>
      <c r="H104" s="37"/>
      <c r="I104" s="23"/>
      <c r="J104" s="23" t="str">
        <f aca="true">IF(C104="","",IF(I104="Done","Done",G104-TODAY()))</f>
        <v/>
      </c>
      <c r="K104" s="23"/>
    </row>
    <row r="105" customFormat="false" ht="19.5" hidden="false" customHeight="true" outlineLevel="0" collapsed="false">
      <c r="A105" s="20" t="str">
        <f aca="false">IF(C105="","",ROW()-2)</f>
        <v/>
      </c>
      <c r="B105" s="34"/>
      <c r="C105" s="34"/>
      <c r="D105" s="20"/>
      <c r="E105" s="34"/>
      <c r="F105" s="20"/>
      <c r="G105" s="29"/>
      <c r="H105" s="34"/>
      <c r="I105" s="20"/>
      <c r="J105" s="20" t="str">
        <f aca="true">IF(C105="","",IF(I105="Done","Done",G105-TODAY()))</f>
        <v/>
      </c>
      <c r="K105" s="20"/>
    </row>
    <row r="106" customFormat="false" ht="19.5" hidden="false" customHeight="true" outlineLevel="0" collapsed="false">
      <c r="A106" s="23" t="str">
        <f aca="false">IF(C106="","",ROW()-2)</f>
        <v/>
      </c>
      <c r="B106" s="37"/>
      <c r="C106" s="37"/>
      <c r="D106" s="23"/>
      <c r="E106" s="37"/>
      <c r="F106" s="23"/>
      <c r="G106" s="31"/>
      <c r="H106" s="37"/>
      <c r="I106" s="23"/>
      <c r="J106" s="23" t="str">
        <f aca="true">IF(C106="","",IF(I106="Done","Done",G106-TODAY()))</f>
        <v/>
      </c>
      <c r="K106" s="23"/>
    </row>
    <row r="107" customFormat="false" ht="19.5" hidden="false" customHeight="true" outlineLevel="0" collapsed="false">
      <c r="A107" s="20" t="str">
        <f aca="false">IF(C107="","",ROW()-2)</f>
        <v/>
      </c>
      <c r="B107" s="34"/>
      <c r="C107" s="34"/>
      <c r="D107" s="20"/>
      <c r="E107" s="34"/>
      <c r="F107" s="20"/>
      <c r="G107" s="29"/>
      <c r="H107" s="34"/>
      <c r="I107" s="20"/>
      <c r="J107" s="20" t="str">
        <f aca="true">IF(C107="","",IF(I107="Done","Done",G107-TODAY()))</f>
        <v/>
      </c>
      <c r="K107" s="20"/>
    </row>
    <row r="108" customFormat="false" ht="19.5" hidden="false" customHeight="true" outlineLevel="0" collapsed="false">
      <c r="A108" s="23" t="str">
        <f aca="false">IF(C108="","",ROW()-2)</f>
        <v/>
      </c>
      <c r="B108" s="37"/>
      <c r="C108" s="37"/>
      <c r="D108" s="23"/>
      <c r="E108" s="37"/>
      <c r="F108" s="23"/>
      <c r="G108" s="31"/>
      <c r="H108" s="37"/>
      <c r="I108" s="23"/>
      <c r="J108" s="23" t="str">
        <f aca="true">IF(C108="","",IF(I108="Done","Done",G108-TODAY()))</f>
        <v/>
      </c>
      <c r="K108" s="23"/>
    </row>
    <row r="109" customFormat="false" ht="19.5" hidden="false" customHeight="true" outlineLevel="0" collapsed="false">
      <c r="A109" s="20" t="str">
        <f aca="false">IF(C109="","",ROW()-2)</f>
        <v/>
      </c>
      <c r="B109" s="34"/>
      <c r="C109" s="34"/>
      <c r="D109" s="20"/>
      <c r="E109" s="34"/>
      <c r="F109" s="20"/>
      <c r="G109" s="29"/>
      <c r="H109" s="34"/>
      <c r="I109" s="20"/>
      <c r="J109" s="20" t="str">
        <f aca="true">IF(C109="","",IF(I109="Done","Done",G109-TODAY()))</f>
        <v/>
      </c>
      <c r="K109" s="20"/>
    </row>
    <row r="110" customFormat="false" ht="19.5" hidden="false" customHeight="true" outlineLevel="0" collapsed="false">
      <c r="A110" s="23" t="str">
        <f aca="false">IF(C110="","",ROW()-2)</f>
        <v/>
      </c>
      <c r="B110" s="37"/>
      <c r="C110" s="37"/>
      <c r="D110" s="23"/>
      <c r="E110" s="37"/>
      <c r="F110" s="23"/>
      <c r="G110" s="31"/>
      <c r="H110" s="37"/>
      <c r="I110" s="23"/>
      <c r="J110" s="23" t="str">
        <f aca="true">IF(C110="","",IF(I110="Done","Done",G110-TODAY()))</f>
        <v/>
      </c>
      <c r="K110" s="23"/>
    </row>
    <row r="111" customFormat="false" ht="19.5" hidden="false" customHeight="true" outlineLevel="0" collapsed="false">
      <c r="A111" s="20" t="str">
        <f aca="false">IF(C111="","",ROW()-2)</f>
        <v/>
      </c>
      <c r="B111" s="34"/>
      <c r="C111" s="34"/>
      <c r="D111" s="20"/>
      <c r="E111" s="34"/>
      <c r="F111" s="20"/>
      <c r="G111" s="29"/>
      <c r="H111" s="34"/>
      <c r="I111" s="20"/>
      <c r="J111" s="20" t="str">
        <f aca="true">IF(C111="","",IF(I111="Done","Done",G111-TODAY()))</f>
        <v/>
      </c>
      <c r="K111" s="20"/>
    </row>
    <row r="112" customFormat="false" ht="19.5" hidden="false" customHeight="true" outlineLevel="0" collapsed="false">
      <c r="A112" s="23" t="str">
        <f aca="false">IF(C112="","",ROW()-2)</f>
        <v/>
      </c>
      <c r="B112" s="37"/>
      <c r="C112" s="37"/>
      <c r="D112" s="23"/>
      <c r="E112" s="37"/>
      <c r="F112" s="23"/>
      <c r="G112" s="31"/>
      <c r="H112" s="37"/>
      <c r="I112" s="23"/>
      <c r="J112" s="23" t="str">
        <f aca="true">IF(C112="","",IF(I112="Done","Done",G112-TODAY()))</f>
        <v/>
      </c>
      <c r="K112" s="23"/>
    </row>
    <row r="113" customFormat="false" ht="19.5" hidden="false" customHeight="true" outlineLevel="0" collapsed="false">
      <c r="A113" s="20" t="str">
        <f aca="false">IF(C113="","",ROW()-2)</f>
        <v/>
      </c>
      <c r="B113" s="34"/>
      <c r="C113" s="34"/>
      <c r="D113" s="20"/>
      <c r="E113" s="34"/>
      <c r="F113" s="20"/>
      <c r="G113" s="29"/>
      <c r="H113" s="34"/>
      <c r="I113" s="20"/>
      <c r="J113" s="20" t="str">
        <f aca="true">IF(C113="","",IF(I113="Done","Done",G113-TODAY()))</f>
        <v/>
      </c>
      <c r="K113" s="20"/>
    </row>
    <row r="114" customFormat="false" ht="19.5" hidden="false" customHeight="true" outlineLevel="0" collapsed="false">
      <c r="A114" s="23" t="str">
        <f aca="false">IF(C114="","",ROW()-2)</f>
        <v/>
      </c>
      <c r="B114" s="37"/>
      <c r="C114" s="37"/>
      <c r="D114" s="23"/>
      <c r="E114" s="37"/>
      <c r="F114" s="23"/>
      <c r="G114" s="31"/>
      <c r="H114" s="37"/>
      <c r="I114" s="23"/>
      <c r="J114" s="23" t="str">
        <f aca="true">IF(C114="","",IF(I114="Done","Done",G114-TODAY()))</f>
        <v/>
      </c>
      <c r="K114" s="23"/>
    </row>
    <row r="115" customFormat="false" ht="19.5" hidden="false" customHeight="true" outlineLevel="0" collapsed="false">
      <c r="A115" s="20" t="str">
        <f aca="false">IF(C115="","",ROW()-2)</f>
        <v/>
      </c>
      <c r="B115" s="34"/>
      <c r="C115" s="34"/>
      <c r="D115" s="20"/>
      <c r="E115" s="34"/>
      <c r="F115" s="20"/>
      <c r="G115" s="29"/>
      <c r="H115" s="34"/>
      <c r="I115" s="20"/>
      <c r="J115" s="20" t="str">
        <f aca="true">IF(C115="","",IF(I115="Done","Done",G115-TODAY()))</f>
        <v/>
      </c>
      <c r="K115" s="20"/>
    </row>
    <row r="116" customFormat="false" ht="19.5" hidden="false" customHeight="true" outlineLevel="0" collapsed="false">
      <c r="A116" s="23" t="str">
        <f aca="false">IF(C116="","",ROW()-2)</f>
        <v/>
      </c>
      <c r="B116" s="37"/>
      <c r="C116" s="37"/>
      <c r="D116" s="23"/>
      <c r="E116" s="37"/>
      <c r="F116" s="23"/>
      <c r="G116" s="31"/>
      <c r="H116" s="37"/>
      <c r="I116" s="23"/>
      <c r="J116" s="23" t="str">
        <f aca="true">IF(C116="","",IF(I116="Done","Done",G116-TODAY()))</f>
        <v/>
      </c>
      <c r="K116" s="23"/>
    </row>
    <row r="117" customFormat="false" ht="19.5" hidden="false" customHeight="true" outlineLevel="0" collapsed="false">
      <c r="A117" s="20" t="str">
        <f aca="false">IF(C117="","",ROW()-2)</f>
        <v/>
      </c>
      <c r="B117" s="34"/>
      <c r="C117" s="34"/>
      <c r="D117" s="20"/>
      <c r="E117" s="34"/>
      <c r="F117" s="20"/>
      <c r="G117" s="29"/>
      <c r="H117" s="34"/>
      <c r="I117" s="20"/>
      <c r="J117" s="20" t="str">
        <f aca="true">IF(C117="","",IF(I117="Done","Done",G117-TODAY()))</f>
        <v/>
      </c>
      <c r="K117" s="20"/>
    </row>
    <row r="118" customFormat="false" ht="19.5" hidden="false" customHeight="true" outlineLevel="0" collapsed="false">
      <c r="A118" s="23" t="str">
        <f aca="false">IF(C118="","",ROW()-2)</f>
        <v/>
      </c>
      <c r="B118" s="37"/>
      <c r="C118" s="37"/>
      <c r="D118" s="23"/>
      <c r="E118" s="37"/>
      <c r="F118" s="23"/>
      <c r="G118" s="31"/>
      <c r="H118" s="37"/>
      <c r="I118" s="23"/>
      <c r="J118" s="23" t="str">
        <f aca="true">IF(C118="","",IF(I118="Done","Done",G118-TODAY()))</f>
        <v/>
      </c>
      <c r="K118" s="23"/>
    </row>
    <row r="119" customFormat="false" ht="19.5" hidden="false" customHeight="true" outlineLevel="0" collapsed="false">
      <c r="A119" s="20" t="str">
        <f aca="false">IF(C119="","",ROW()-2)</f>
        <v/>
      </c>
      <c r="B119" s="34"/>
      <c r="C119" s="34"/>
      <c r="D119" s="20"/>
      <c r="E119" s="34"/>
      <c r="F119" s="20"/>
      <c r="G119" s="29"/>
      <c r="H119" s="34"/>
      <c r="I119" s="20"/>
      <c r="J119" s="20" t="str">
        <f aca="true">IF(C119="","",IF(I119="Done","Done",G119-TODAY()))</f>
        <v/>
      </c>
      <c r="K119" s="20"/>
    </row>
    <row r="120" customFormat="false" ht="19.5" hidden="false" customHeight="true" outlineLevel="0" collapsed="false">
      <c r="A120" s="23" t="str">
        <f aca="false">IF(C120="","",ROW()-2)</f>
        <v/>
      </c>
      <c r="B120" s="37"/>
      <c r="C120" s="37"/>
      <c r="D120" s="23"/>
      <c r="E120" s="37"/>
      <c r="F120" s="23"/>
      <c r="G120" s="31"/>
      <c r="H120" s="37"/>
      <c r="I120" s="23"/>
      <c r="J120" s="23" t="str">
        <f aca="true">IF(C120="","",IF(I120="Done","Done",G120-TODAY()))</f>
        <v/>
      </c>
      <c r="K120" s="23"/>
    </row>
    <row r="121" customFormat="false" ht="19.5" hidden="false" customHeight="true" outlineLevel="0" collapsed="false">
      <c r="A121" s="20" t="str">
        <f aca="false">IF(C121="","",ROW()-2)</f>
        <v/>
      </c>
      <c r="B121" s="34"/>
      <c r="C121" s="34"/>
      <c r="D121" s="20"/>
      <c r="E121" s="34"/>
      <c r="F121" s="20"/>
      <c r="G121" s="29"/>
      <c r="H121" s="34"/>
      <c r="I121" s="20"/>
      <c r="J121" s="20" t="str">
        <f aca="true">IF(C121="","",IF(I121="Done","Done",G121-TODAY()))</f>
        <v/>
      </c>
      <c r="K121" s="20"/>
    </row>
    <row r="122" customFormat="false" ht="19.5" hidden="false" customHeight="true" outlineLevel="0" collapsed="false">
      <c r="A122" s="23" t="str">
        <f aca="false">IF(C122="","",ROW()-2)</f>
        <v/>
      </c>
      <c r="B122" s="37"/>
      <c r="C122" s="37"/>
      <c r="D122" s="23"/>
      <c r="E122" s="37"/>
      <c r="F122" s="23"/>
      <c r="G122" s="31"/>
      <c r="H122" s="37"/>
      <c r="I122" s="23"/>
      <c r="J122" s="23" t="str">
        <f aca="true">IF(C122="","",IF(I122="Done","Done",G122-TODAY()))</f>
        <v/>
      </c>
      <c r="K122" s="23"/>
    </row>
    <row r="123" customFormat="false" ht="19.5" hidden="false" customHeight="true" outlineLevel="0" collapsed="false">
      <c r="A123" s="20" t="str">
        <f aca="false">IF(C123="","",ROW()-2)</f>
        <v/>
      </c>
      <c r="B123" s="34"/>
      <c r="C123" s="34"/>
      <c r="D123" s="20"/>
      <c r="E123" s="34"/>
      <c r="F123" s="20"/>
      <c r="G123" s="29"/>
      <c r="H123" s="34"/>
      <c r="I123" s="20"/>
      <c r="J123" s="20" t="str">
        <f aca="true">IF(C123="","",IF(I123="Done","Done",G123-TODAY()))</f>
        <v/>
      </c>
      <c r="K123" s="20"/>
    </row>
    <row r="124" customFormat="false" ht="19.5" hidden="false" customHeight="true" outlineLevel="0" collapsed="false">
      <c r="A124" s="23" t="str">
        <f aca="false">IF(C124="","",ROW()-2)</f>
        <v/>
      </c>
      <c r="B124" s="37"/>
      <c r="C124" s="37"/>
      <c r="D124" s="23"/>
      <c r="E124" s="37"/>
      <c r="F124" s="23"/>
      <c r="G124" s="31"/>
      <c r="H124" s="37"/>
      <c r="I124" s="23"/>
      <c r="J124" s="23" t="str">
        <f aca="true">IF(C124="","",IF(I124="Done","Done",G124-TODAY()))</f>
        <v/>
      </c>
      <c r="K124" s="23"/>
    </row>
    <row r="125" customFormat="false" ht="19.5" hidden="false" customHeight="true" outlineLevel="0" collapsed="false">
      <c r="A125" s="20" t="str">
        <f aca="false">IF(C125="","",ROW()-2)</f>
        <v/>
      </c>
      <c r="B125" s="34"/>
      <c r="C125" s="34"/>
      <c r="D125" s="20"/>
      <c r="E125" s="34"/>
      <c r="F125" s="20"/>
      <c r="G125" s="29"/>
      <c r="H125" s="34"/>
      <c r="I125" s="20"/>
      <c r="J125" s="20" t="str">
        <f aca="true">IF(C125="","",IF(I125="Done","Done",G125-TODAY()))</f>
        <v/>
      </c>
      <c r="K125" s="20"/>
    </row>
    <row r="126" customFormat="false" ht="19.5" hidden="false" customHeight="true" outlineLevel="0" collapsed="false">
      <c r="A126" s="23" t="str">
        <f aca="false">IF(C126="","",ROW()-2)</f>
        <v/>
      </c>
      <c r="B126" s="37"/>
      <c r="C126" s="37"/>
      <c r="D126" s="23"/>
      <c r="E126" s="37"/>
      <c r="F126" s="23"/>
      <c r="G126" s="31"/>
      <c r="H126" s="37"/>
      <c r="I126" s="23"/>
      <c r="J126" s="23" t="str">
        <f aca="true">IF(C126="","",IF(I126="Done","Done",G126-TODAY()))</f>
        <v/>
      </c>
      <c r="K126" s="23"/>
    </row>
    <row r="127" customFormat="false" ht="19.5" hidden="false" customHeight="true" outlineLevel="0" collapsed="false">
      <c r="A127" s="20" t="str">
        <f aca="false">IF(C127="","",ROW()-2)</f>
        <v/>
      </c>
      <c r="B127" s="34"/>
      <c r="C127" s="34"/>
      <c r="D127" s="20"/>
      <c r="E127" s="34"/>
      <c r="F127" s="20"/>
      <c r="G127" s="29"/>
      <c r="H127" s="34"/>
      <c r="I127" s="20"/>
      <c r="J127" s="20" t="str">
        <f aca="true">IF(C127="","",IF(I127="Done","Done",G127-TODAY()))</f>
        <v/>
      </c>
      <c r="K127" s="20"/>
    </row>
    <row r="128" customFormat="false" ht="19.5" hidden="false" customHeight="true" outlineLevel="0" collapsed="false">
      <c r="A128" s="23" t="str">
        <f aca="false">IF(C128="","",ROW()-2)</f>
        <v/>
      </c>
      <c r="B128" s="37"/>
      <c r="C128" s="37"/>
      <c r="D128" s="23"/>
      <c r="E128" s="37"/>
      <c r="F128" s="23"/>
      <c r="G128" s="31"/>
      <c r="H128" s="37"/>
      <c r="I128" s="23"/>
      <c r="J128" s="23" t="str">
        <f aca="true">IF(C128="","",IF(I128="Done","Done",G128-TODAY()))</f>
        <v/>
      </c>
      <c r="K128" s="23"/>
    </row>
    <row r="129" customFormat="false" ht="19.5" hidden="false" customHeight="true" outlineLevel="0" collapsed="false">
      <c r="A129" s="20" t="str">
        <f aca="false">IF(C129="","",ROW()-2)</f>
        <v/>
      </c>
      <c r="B129" s="34"/>
      <c r="C129" s="34"/>
      <c r="D129" s="20"/>
      <c r="E129" s="34"/>
      <c r="F129" s="20"/>
      <c r="G129" s="29"/>
      <c r="H129" s="34"/>
      <c r="I129" s="20"/>
      <c r="J129" s="20" t="str">
        <f aca="true">IF(C129="","",IF(I129="Done","Done",G129-TODAY()))</f>
        <v/>
      </c>
      <c r="K129" s="20"/>
    </row>
    <row r="130" customFormat="false" ht="19.5" hidden="false" customHeight="true" outlineLevel="0" collapsed="false">
      <c r="A130" s="23" t="str">
        <f aca="false">IF(C130="","",ROW()-2)</f>
        <v/>
      </c>
      <c r="B130" s="37"/>
      <c r="C130" s="37"/>
      <c r="D130" s="23"/>
      <c r="E130" s="37"/>
      <c r="F130" s="23"/>
      <c r="G130" s="31"/>
      <c r="H130" s="37"/>
      <c r="I130" s="23"/>
      <c r="J130" s="23" t="str">
        <f aca="true">IF(C130="","",IF(I130="Done","Done",G130-TODAY()))</f>
        <v/>
      </c>
      <c r="K130" s="23"/>
    </row>
    <row r="131" customFormat="false" ht="19.5" hidden="false" customHeight="true" outlineLevel="0" collapsed="false">
      <c r="A131" s="20" t="str">
        <f aca="false">IF(C131="","",ROW()-2)</f>
        <v/>
      </c>
      <c r="B131" s="34"/>
      <c r="C131" s="34"/>
      <c r="D131" s="20"/>
      <c r="E131" s="34"/>
      <c r="F131" s="20"/>
      <c r="G131" s="29"/>
      <c r="H131" s="34"/>
      <c r="I131" s="20"/>
      <c r="J131" s="20" t="str">
        <f aca="true">IF(C131="","",IF(I131="Done","Done",G131-TODAY()))</f>
        <v/>
      </c>
      <c r="K131" s="20"/>
    </row>
    <row r="132" customFormat="false" ht="19.5" hidden="false" customHeight="true" outlineLevel="0" collapsed="false">
      <c r="A132" s="23" t="str">
        <f aca="false">IF(C132="","",ROW()-2)</f>
        <v/>
      </c>
      <c r="B132" s="37"/>
      <c r="C132" s="37"/>
      <c r="D132" s="23"/>
      <c r="E132" s="37"/>
      <c r="F132" s="23"/>
      <c r="G132" s="31"/>
      <c r="H132" s="37"/>
      <c r="I132" s="23"/>
      <c r="J132" s="23" t="str">
        <f aca="true">IF(C132="","",IF(I132="Done","Done",G132-TODAY()))</f>
        <v/>
      </c>
      <c r="K132" s="23"/>
    </row>
    <row r="133" customFormat="false" ht="19.5" hidden="false" customHeight="true" outlineLevel="0" collapsed="false">
      <c r="A133" s="20" t="str">
        <f aca="false">IF(C133="","",ROW()-2)</f>
        <v/>
      </c>
      <c r="B133" s="34"/>
      <c r="C133" s="34"/>
      <c r="D133" s="20"/>
      <c r="E133" s="34"/>
      <c r="F133" s="20"/>
      <c r="G133" s="29"/>
      <c r="H133" s="34"/>
      <c r="I133" s="20"/>
      <c r="J133" s="20" t="str">
        <f aca="true">IF(C133="","",IF(I133="Done","Done",G133-TODAY()))</f>
        <v/>
      </c>
      <c r="K133" s="20"/>
    </row>
    <row r="134" customFormat="false" ht="19.5" hidden="false" customHeight="true" outlineLevel="0" collapsed="false">
      <c r="A134" s="23" t="str">
        <f aca="false">IF(C134="","",ROW()-2)</f>
        <v/>
      </c>
      <c r="B134" s="37"/>
      <c r="C134" s="37"/>
      <c r="D134" s="23"/>
      <c r="E134" s="37"/>
      <c r="F134" s="23"/>
      <c r="G134" s="31"/>
      <c r="H134" s="37"/>
      <c r="I134" s="23"/>
      <c r="J134" s="23" t="str">
        <f aca="true">IF(C134="","",IF(I134="Done","Done",G134-TODAY()))</f>
        <v/>
      </c>
      <c r="K134" s="23"/>
    </row>
    <row r="135" customFormat="false" ht="19.5" hidden="false" customHeight="true" outlineLevel="0" collapsed="false">
      <c r="A135" s="20" t="str">
        <f aca="false">IF(C135="","",ROW()-2)</f>
        <v/>
      </c>
      <c r="B135" s="34"/>
      <c r="C135" s="34"/>
      <c r="D135" s="20"/>
      <c r="E135" s="34"/>
      <c r="F135" s="20"/>
      <c r="G135" s="29"/>
      <c r="H135" s="34"/>
      <c r="I135" s="20"/>
      <c r="J135" s="20" t="str">
        <f aca="true">IF(C135="","",IF(I135="Done","Done",G135-TODAY()))</f>
        <v/>
      </c>
      <c r="K135" s="20"/>
    </row>
    <row r="136" customFormat="false" ht="19.5" hidden="false" customHeight="true" outlineLevel="0" collapsed="false">
      <c r="A136" s="23" t="str">
        <f aca="false">IF(C136="","",ROW()-2)</f>
        <v/>
      </c>
      <c r="B136" s="37"/>
      <c r="C136" s="37"/>
      <c r="D136" s="23"/>
      <c r="E136" s="37"/>
      <c r="F136" s="23"/>
      <c r="G136" s="31"/>
      <c r="H136" s="37"/>
      <c r="I136" s="23"/>
      <c r="J136" s="23" t="str">
        <f aca="true">IF(C136="","",IF(I136="Done","Done",G136-TODAY()))</f>
        <v/>
      </c>
      <c r="K136" s="23"/>
    </row>
    <row r="137" customFormat="false" ht="19.5" hidden="false" customHeight="true" outlineLevel="0" collapsed="false">
      <c r="A137" s="20" t="str">
        <f aca="false">IF(C137="","",ROW()-2)</f>
        <v/>
      </c>
      <c r="B137" s="34"/>
      <c r="C137" s="34"/>
      <c r="D137" s="20"/>
      <c r="E137" s="34"/>
      <c r="F137" s="20"/>
      <c r="G137" s="29"/>
      <c r="H137" s="34"/>
      <c r="I137" s="20"/>
      <c r="J137" s="20" t="str">
        <f aca="true">IF(C137="","",IF(I137="Done","Done",G137-TODAY()))</f>
        <v/>
      </c>
      <c r="K137" s="20"/>
    </row>
    <row r="138" customFormat="false" ht="19.5" hidden="false" customHeight="true" outlineLevel="0" collapsed="false">
      <c r="A138" s="23" t="str">
        <f aca="false">IF(C138="","",ROW()-2)</f>
        <v/>
      </c>
      <c r="B138" s="37"/>
      <c r="C138" s="37"/>
      <c r="D138" s="23"/>
      <c r="E138" s="37"/>
      <c r="F138" s="23"/>
      <c r="G138" s="31"/>
      <c r="H138" s="37"/>
      <c r="I138" s="23"/>
      <c r="J138" s="23" t="str">
        <f aca="true">IF(C138="","",IF(I138="Done","Done",G138-TODAY()))</f>
        <v/>
      </c>
      <c r="K138" s="23"/>
    </row>
    <row r="139" customFormat="false" ht="19.5" hidden="false" customHeight="true" outlineLevel="0" collapsed="false">
      <c r="A139" s="20" t="str">
        <f aca="false">IF(C139="","",ROW()-2)</f>
        <v/>
      </c>
      <c r="B139" s="34"/>
      <c r="C139" s="34"/>
      <c r="D139" s="20"/>
      <c r="E139" s="34"/>
      <c r="F139" s="20"/>
      <c r="G139" s="29"/>
      <c r="H139" s="34"/>
      <c r="I139" s="20"/>
      <c r="J139" s="20" t="str">
        <f aca="true">IF(C139="","",IF(I139="Done","Done",G139-TODAY()))</f>
        <v/>
      </c>
      <c r="K139" s="20"/>
    </row>
    <row r="140" customFormat="false" ht="19.5" hidden="false" customHeight="true" outlineLevel="0" collapsed="false">
      <c r="A140" s="23" t="str">
        <f aca="false">IF(C140="","",ROW()-2)</f>
        <v/>
      </c>
      <c r="B140" s="37"/>
      <c r="C140" s="37"/>
      <c r="D140" s="23"/>
      <c r="E140" s="37"/>
      <c r="F140" s="23"/>
      <c r="G140" s="31"/>
      <c r="H140" s="37"/>
      <c r="I140" s="23"/>
      <c r="J140" s="23" t="str">
        <f aca="true">IF(C140="","",IF(I140="Done","Done",G140-TODAY()))</f>
        <v/>
      </c>
      <c r="K140" s="23"/>
    </row>
    <row r="141" customFormat="false" ht="19.5" hidden="false" customHeight="true" outlineLevel="0" collapsed="false">
      <c r="A141" s="20" t="str">
        <f aca="false">IF(C141="","",ROW()-2)</f>
        <v/>
      </c>
      <c r="B141" s="34"/>
      <c r="C141" s="34"/>
      <c r="D141" s="20"/>
      <c r="E141" s="34"/>
      <c r="F141" s="20"/>
      <c r="G141" s="29"/>
      <c r="H141" s="34"/>
      <c r="I141" s="20"/>
      <c r="J141" s="20" t="str">
        <f aca="true">IF(C141="","",IF(I141="Done","Done",G141-TODAY()))</f>
        <v/>
      </c>
      <c r="K141" s="20"/>
    </row>
    <row r="142" customFormat="false" ht="19.5" hidden="false" customHeight="true" outlineLevel="0" collapsed="false">
      <c r="A142" s="23" t="str">
        <f aca="false">IF(C142="","",ROW()-2)</f>
        <v/>
      </c>
      <c r="B142" s="37"/>
      <c r="C142" s="37"/>
      <c r="D142" s="23"/>
      <c r="E142" s="37"/>
      <c r="F142" s="23"/>
      <c r="G142" s="31"/>
      <c r="H142" s="37"/>
      <c r="I142" s="23"/>
      <c r="J142" s="23" t="str">
        <f aca="true">IF(C142="","",IF(I142="Done","Done",G142-TODAY()))</f>
        <v/>
      </c>
      <c r="K142" s="23"/>
    </row>
    <row r="143" customFormat="false" ht="19.5" hidden="false" customHeight="true" outlineLevel="0" collapsed="false">
      <c r="A143" s="20" t="str">
        <f aca="false">IF(C143="","",ROW()-2)</f>
        <v/>
      </c>
      <c r="B143" s="34"/>
      <c r="C143" s="34"/>
      <c r="D143" s="20"/>
      <c r="E143" s="34"/>
      <c r="F143" s="20"/>
      <c r="G143" s="29"/>
      <c r="H143" s="34"/>
      <c r="I143" s="20"/>
      <c r="J143" s="20" t="str">
        <f aca="true">IF(C143="","",IF(I143="Done","Done",G143-TODAY()))</f>
        <v/>
      </c>
      <c r="K143" s="20"/>
    </row>
    <row r="144" customFormat="false" ht="19.5" hidden="false" customHeight="true" outlineLevel="0" collapsed="false">
      <c r="A144" s="23" t="str">
        <f aca="false">IF(C144="","",ROW()-2)</f>
        <v/>
      </c>
      <c r="B144" s="37"/>
      <c r="C144" s="37"/>
      <c r="D144" s="23"/>
      <c r="E144" s="37"/>
      <c r="F144" s="23"/>
      <c r="G144" s="31"/>
      <c r="H144" s="37"/>
      <c r="I144" s="23"/>
      <c r="J144" s="23" t="str">
        <f aca="true">IF(C144="","",IF(I144="Done","Done",G144-TODAY()))</f>
        <v/>
      </c>
      <c r="K144" s="23"/>
    </row>
    <row r="145" customFormat="false" ht="19.5" hidden="false" customHeight="true" outlineLevel="0" collapsed="false">
      <c r="A145" s="20" t="str">
        <f aca="false">IF(C145="","",ROW()-2)</f>
        <v/>
      </c>
      <c r="B145" s="34"/>
      <c r="C145" s="34"/>
      <c r="D145" s="20"/>
      <c r="E145" s="34"/>
      <c r="F145" s="20"/>
      <c r="G145" s="29"/>
      <c r="H145" s="34"/>
      <c r="I145" s="20"/>
      <c r="J145" s="20" t="str">
        <f aca="true">IF(C145="","",IF(I145="Done","Done",G145-TODAY()))</f>
        <v/>
      </c>
      <c r="K145" s="20"/>
    </row>
    <row r="146" customFormat="false" ht="19.5" hidden="false" customHeight="true" outlineLevel="0" collapsed="false">
      <c r="A146" s="23" t="str">
        <f aca="false">IF(C146="","",ROW()-2)</f>
        <v/>
      </c>
      <c r="B146" s="37"/>
      <c r="C146" s="37"/>
      <c r="D146" s="23"/>
      <c r="E146" s="37"/>
      <c r="F146" s="23"/>
      <c r="G146" s="31"/>
      <c r="H146" s="37"/>
      <c r="I146" s="23"/>
      <c r="J146" s="23" t="str">
        <f aca="true">IF(C146="","",IF(I146="Done","Done",G146-TODAY()))</f>
        <v/>
      </c>
      <c r="K146" s="23"/>
    </row>
    <row r="147" customFormat="false" ht="19.5" hidden="false" customHeight="true" outlineLevel="0" collapsed="false">
      <c r="A147" s="20" t="str">
        <f aca="false">IF(C147="","",ROW()-2)</f>
        <v/>
      </c>
      <c r="B147" s="34"/>
      <c r="C147" s="34"/>
      <c r="D147" s="20"/>
      <c r="E147" s="34"/>
      <c r="F147" s="20"/>
      <c r="G147" s="29"/>
      <c r="H147" s="34"/>
      <c r="I147" s="20"/>
      <c r="J147" s="20" t="str">
        <f aca="true">IF(C147="","",IF(I147="Done","Done",G147-TODAY()))</f>
        <v/>
      </c>
      <c r="K147" s="20"/>
    </row>
    <row r="148" customFormat="false" ht="19.5" hidden="false" customHeight="true" outlineLevel="0" collapsed="false">
      <c r="A148" s="23" t="str">
        <f aca="false">IF(C148="","",ROW()-2)</f>
        <v/>
      </c>
      <c r="B148" s="37"/>
      <c r="C148" s="37"/>
      <c r="D148" s="23"/>
      <c r="E148" s="37"/>
      <c r="F148" s="23"/>
      <c r="G148" s="31"/>
      <c r="H148" s="37"/>
      <c r="I148" s="23"/>
      <c r="J148" s="23" t="str">
        <f aca="true">IF(C148="","",IF(I148="Done","Done",G148-TODAY()))</f>
        <v/>
      </c>
      <c r="K148" s="23"/>
    </row>
    <row r="149" customFormat="false" ht="19.5" hidden="false" customHeight="true" outlineLevel="0" collapsed="false">
      <c r="A149" s="20" t="str">
        <f aca="false">IF(C149="","",ROW()-2)</f>
        <v/>
      </c>
      <c r="B149" s="34"/>
      <c r="C149" s="34"/>
      <c r="D149" s="20"/>
      <c r="E149" s="34"/>
      <c r="F149" s="20"/>
      <c r="G149" s="29"/>
      <c r="H149" s="34"/>
      <c r="I149" s="20"/>
      <c r="J149" s="20" t="str">
        <f aca="true">IF(C149="","",IF(I149="Done","Done",G149-TODAY()))</f>
        <v/>
      </c>
      <c r="K149" s="20"/>
    </row>
    <row r="150" customFormat="false" ht="19.5" hidden="false" customHeight="true" outlineLevel="0" collapsed="false">
      <c r="A150" s="23" t="str">
        <f aca="false">IF(C150="","",ROW()-2)</f>
        <v/>
      </c>
      <c r="B150" s="37"/>
      <c r="C150" s="37"/>
      <c r="D150" s="23"/>
      <c r="E150" s="37"/>
      <c r="F150" s="23"/>
      <c r="G150" s="31"/>
      <c r="H150" s="37"/>
      <c r="I150" s="23"/>
      <c r="J150" s="23" t="str">
        <f aca="true">IF(C150="","",IF(I150="Done","Done",G150-TODAY()))</f>
        <v/>
      </c>
      <c r="K150" s="23"/>
    </row>
    <row r="151" customFormat="false" ht="19.5" hidden="false" customHeight="true" outlineLevel="0" collapsed="false">
      <c r="A151" s="20" t="str">
        <f aca="false">IF(C151="","",ROW()-2)</f>
        <v/>
      </c>
      <c r="B151" s="34"/>
      <c r="C151" s="34"/>
      <c r="D151" s="20"/>
      <c r="E151" s="34"/>
      <c r="F151" s="20"/>
      <c r="G151" s="29"/>
      <c r="H151" s="34"/>
      <c r="I151" s="20"/>
      <c r="J151" s="20" t="str">
        <f aca="true">IF(C151="","",IF(I151="Done","Done",G151-TODAY()))</f>
        <v/>
      </c>
      <c r="K151" s="20"/>
    </row>
    <row r="152" customFormat="false" ht="19.5" hidden="false" customHeight="true" outlineLevel="0" collapsed="false">
      <c r="A152" s="23" t="str">
        <f aca="false">IF(C152="","",ROW()-2)</f>
        <v/>
      </c>
      <c r="B152" s="37"/>
      <c r="C152" s="37"/>
      <c r="D152" s="23"/>
      <c r="E152" s="37"/>
      <c r="F152" s="23"/>
      <c r="G152" s="31"/>
      <c r="H152" s="37"/>
      <c r="I152" s="23"/>
      <c r="J152" s="23" t="str">
        <f aca="true">IF(C152="","",IF(I152="Done","Done",G152-TODAY()))</f>
        <v/>
      </c>
      <c r="K152" s="23"/>
    </row>
    <row r="153" customFormat="false" ht="19.5" hidden="false" customHeight="true" outlineLevel="0" collapsed="false">
      <c r="A153" s="20" t="str">
        <f aca="false">IF(C153="","",ROW()-2)</f>
        <v/>
      </c>
      <c r="B153" s="34"/>
      <c r="C153" s="34"/>
      <c r="D153" s="20"/>
      <c r="E153" s="34"/>
      <c r="F153" s="20"/>
      <c r="G153" s="29"/>
      <c r="H153" s="34"/>
      <c r="I153" s="20"/>
      <c r="J153" s="20" t="str">
        <f aca="true">IF(C153="","",IF(I153="Done","Done",G153-TODAY()))</f>
        <v/>
      </c>
      <c r="K153" s="20"/>
    </row>
    <row r="154" customFormat="false" ht="19.5" hidden="false" customHeight="true" outlineLevel="0" collapsed="false">
      <c r="A154" s="23" t="str">
        <f aca="false">IF(C154="","",ROW()-2)</f>
        <v/>
      </c>
      <c r="B154" s="37"/>
      <c r="C154" s="37"/>
      <c r="D154" s="23"/>
      <c r="E154" s="37"/>
      <c r="F154" s="23"/>
      <c r="G154" s="31"/>
      <c r="H154" s="37"/>
      <c r="I154" s="23"/>
      <c r="J154" s="23" t="str">
        <f aca="true">IF(C154="","",IF(I154="Done","Done",G154-TODAY()))</f>
        <v/>
      </c>
      <c r="K154" s="23"/>
    </row>
    <row r="155" customFormat="false" ht="19.5" hidden="false" customHeight="true" outlineLevel="0" collapsed="false">
      <c r="A155" s="20" t="str">
        <f aca="false">IF(C155="","",ROW()-2)</f>
        <v/>
      </c>
      <c r="B155" s="34"/>
      <c r="C155" s="34"/>
      <c r="D155" s="20"/>
      <c r="E155" s="34"/>
      <c r="F155" s="20"/>
      <c r="G155" s="29"/>
      <c r="H155" s="34"/>
      <c r="I155" s="20"/>
      <c r="J155" s="20" t="str">
        <f aca="true">IF(C155="","",IF(I155="Done","Done",G155-TODAY()))</f>
        <v/>
      </c>
      <c r="K155" s="20"/>
    </row>
    <row r="156" customFormat="false" ht="19.5" hidden="false" customHeight="true" outlineLevel="0" collapsed="false">
      <c r="A156" s="23" t="str">
        <f aca="false">IF(C156="","",ROW()-2)</f>
        <v/>
      </c>
      <c r="B156" s="37"/>
      <c r="C156" s="37"/>
      <c r="D156" s="23"/>
      <c r="E156" s="37"/>
      <c r="F156" s="23"/>
      <c r="G156" s="31"/>
      <c r="H156" s="37"/>
      <c r="I156" s="23"/>
      <c r="J156" s="23" t="str">
        <f aca="true">IF(C156="","",IF(I156="Done","Done",G156-TODAY()))</f>
        <v/>
      </c>
      <c r="K156" s="23"/>
    </row>
    <row r="157" customFormat="false" ht="19.5" hidden="false" customHeight="true" outlineLevel="0" collapsed="false">
      <c r="A157" s="20" t="str">
        <f aca="false">IF(C157="","",ROW()-2)</f>
        <v/>
      </c>
      <c r="B157" s="34"/>
      <c r="C157" s="34"/>
      <c r="D157" s="20"/>
      <c r="E157" s="34"/>
      <c r="F157" s="20"/>
      <c r="G157" s="29"/>
      <c r="H157" s="34"/>
      <c r="I157" s="20"/>
      <c r="J157" s="20" t="str">
        <f aca="true">IF(C157="","",IF(I157="Done","Done",G157-TODAY()))</f>
        <v/>
      </c>
      <c r="K157" s="20"/>
    </row>
    <row r="158" customFormat="false" ht="19.5" hidden="false" customHeight="true" outlineLevel="0" collapsed="false">
      <c r="A158" s="23" t="str">
        <f aca="false">IF(C158="","",ROW()-2)</f>
        <v/>
      </c>
      <c r="B158" s="37"/>
      <c r="C158" s="37"/>
      <c r="D158" s="23"/>
      <c r="E158" s="37"/>
      <c r="F158" s="23"/>
      <c r="G158" s="31"/>
      <c r="H158" s="37"/>
      <c r="I158" s="23"/>
      <c r="J158" s="23" t="str">
        <f aca="true">IF(C158="","",IF(I158="Done","Done",G158-TODAY()))</f>
        <v/>
      </c>
      <c r="K158" s="23"/>
    </row>
    <row r="159" customFormat="false" ht="19.5" hidden="false" customHeight="true" outlineLevel="0" collapsed="false">
      <c r="A159" s="20" t="str">
        <f aca="false">IF(C159="","",ROW()-2)</f>
        <v/>
      </c>
      <c r="B159" s="34"/>
      <c r="C159" s="34"/>
      <c r="D159" s="20"/>
      <c r="E159" s="34"/>
      <c r="F159" s="20"/>
      <c r="G159" s="29"/>
      <c r="H159" s="34"/>
      <c r="I159" s="20"/>
      <c r="J159" s="20" t="str">
        <f aca="true">IF(C159="","",IF(I159="Done","Done",G159-TODAY()))</f>
        <v/>
      </c>
      <c r="K159" s="20"/>
    </row>
    <row r="160" customFormat="false" ht="19.5" hidden="false" customHeight="true" outlineLevel="0" collapsed="false">
      <c r="A160" s="23" t="str">
        <f aca="false">IF(C160="","",ROW()-2)</f>
        <v/>
      </c>
      <c r="B160" s="37"/>
      <c r="C160" s="37"/>
      <c r="D160" s="23"/>
      <c r="E160" s="37"/>
      <c r="F160" s="23"/>
      <c r="G160" s="31"/>
      <c r="H160" s="37"/>
      <c r="I160" s="23"/>
      <c r="J160" s="23" t="str">
        <f aca="true">IF(C160="","",IF(I160="Done","Done",G160-TODAY()))</f>
        <v/>
      </c>
      <c r="K160" s="23"/>
    </row>
    <row r="161" customFormat="false" ht="19.5" hidden="false" customHeight="true" outlineLevel="0" collapsed="false">
      <c r="A161" s="20" t="str">
        <f aca="false">IF(C161="","",ROW()-2)</f>
        <v/>
      </c>
      <c r="B161" s="34"/>
      <c r="C161" s="34"/>
      <c r="D161" s="20"/>
      <c r="E161" s="34"/>
      <c r="F161" s="20"/>
      <c r="G161" s="29"/>
      <c r="H161" s="34"/>
      <c r="I161" s="20"/>
      <c r="J161" s="20" t="str">
        <f aca="true">IF(C161="","",IF(I161="Done","Done",G161-TODAY()))</f>
        <v/>
      </c>
      <c r="K161" s="20"/>
    </row>
    <row r="162" customFormat="false" ht="19.5" hidden="false" customHeight="true" outlineLevel="0" collapsed="false">
      <c r="A162" s="23" t="str">
        <f aca="false">IF(C162="","",ROW()-2)</f>
        <v/>
      </c>
      <c r="B162" s="37"/>
      <c r="C162" s="37"/>
      <c r="D162" s="23"/>
      <c r="E162" s="37"/>
      <c r="F162" s="23"/>
      <c r="G162" s="31"/>
      <c r="H162" s="37"/>
      <c r="I162" s="23"/>
      <c r="J162" s="23" t="str">
        <f aca="true">IF(C162="","",IF(I162="Done","Done",G162-TODAY()))</f>
        <v/>
      </c>
      <c r="K162" s="23"/>
    </row>
    <row r="163" customFormat="false" ht="19.5" hidden="false" customHeight="true" outlineLevel="0" collapsed="false">
      <c r="A163" s="20" t="str">
        <f aca="false">IF(C163="","",ROW()-2)</f>
        <v/>
      </c>
      <c r="B163" s="34"/>
      <c r="C163" s="34"/>
      <c r="D163" s="20"/>
      <c r="E163" s="34"/>
      <c r="F163" s="20"/>
      <c r="G163" s="29"/>
      <c r="H163" s="34"/>
      <c r="I163" s="20"/>
      <c r="J163" s="20" t="str">
        <f aca="true">IF(C163="","",IF(I163="Done","Done",G163-TODAY()))</f>
        <v/>
      </c>
      <c r="K163" s="20"/>
    </row>
    <row r="164" customFormat="false" ht="19.5" hidden="false" customHeight="true" outlineLevel="0" collapsed="false">
      <c r="A164" s="23" t="str">
        <f aca="false">IF(C164="","",ROW()-2)</f>
        <v/>
      </c>
      <c r="B164" s="37"/>
      <c r="C164" s="37"/>
      <c r="D164" s="23"/>
      <c r="E164" s="37"/>
      <c r="F164" s="23"/>
      <c r="G164" s="31"/>
      <c r="H164" s="37"/>
      <c r="I164" s="23"/>
      <c r="J164" s="23" t="str">
        <f aca="true">IF(C164="","",IF(I164="Done","Done",G164-TODAY()))</f>
        <v/>
      </c>
      <c r="K164" s="23"/>
    </row>
    <row r="165" customFormat="false" ht="19.5" hidden="false" customHeight="true" outlineLevel="0" collapsed="false">
      <c r="A165" s="20" t="str">
        <f aca="false">IF(C165="","",ROW()-2)</f>
        <v/>
      </c>
      <c r="B165" s="34"/>
      <c r="C165" s="34"/>
      <c r="D165" s="20"/>
      <c r="E165" s="34"/>
      <c r="F165" s="20"/>
      <c r="G165" s="29"/>
      <c r="H165" s="34"/>
      <c r="I165" s="20"/>
      <c r="J165" s="20" t="str">
        <f aca="true">IF(C165="","",IF(I165="Done","Done",G165-TODAY()))</f>
        <v/>
      </c>
      <c r="K165" s="20"/>
    </row>
    <row r="166" customFormat="false" ht="19.5" hidden="false" customHeight="true" outlineLevel="0" collapsed="false">
      <c r="A166" s="23" t="str">
        <f aca="false">IF(C166="","",ROW()-2)</f>
        <v/>
      </c>
      <c r="B166" s="37"/>
      <c r="C166" s="37"/>
      <c r="D166" s="23"/>
      <c r="E166" s="37"/>
      <c r="F166" s="23"/>
      <c r="G166" s="31"/>
      <c r="H166" s="37"/>
      <c r="I166" s="23"/>
      <c r="J166" s="23" t="str">
        <f aca="true">IF(C166="","",IF(I166="Done","Done",G166-TODAY()))</f>
        <v/>
      </c>
      <c r="K166" s="23"/>
    </row>
    <row r="167" customFormat="false" ht="19.5" hidden="false" customHeight="true" outlineLevel="0" collapsed="false">
      <c r="A167" s="20" t="str">
        <f aca="false">IF(C167="","",ROW()-2)</f>
        <v/>
      </c>
      <c r="B167" s="34"/>
      <c r="C167" s="34"/>
      <c r="D167" s="20"/>
      <c r="E167" s="34"/>
      <c r="F167" s="20"/>
      <c r="G167" s="29"/>
      <c r="H167" s="34"/>
      <c r="I167" s="20"/>
      <c r="J167" s="20" t="str">
        <f aca="true">IF(C167="","",IF(I167="Done","Done",G167-TODAY()))</f>
        <v/>
      </c>
      <c r="K167" s="20"/>
    </row>
    <row r="168" customFormat="false" ht="19.5" hidden="false" customHeight="true" outlineLevel="0" collapsed="false">
      <c r="A168" s="23" t="str">
        <f aca="false">IF(C168="","",ROW()-2)</f>
        <v/>
      </c>
      <c r="B168" s="37"/>
      <c r="C168" s="37"/>
      <c r="D168" s="23"/>
      <c r="E168" s="37"/>
      <c r="F168" s="23"/>
      <c r="G168" s="31"/>
      <c r="H168" s="37"/>
      <c r="I168" s="23"/>
      <c r="J168" s="23" t="str">
        <f aca="true">IF(C168="","",IF(I168="Done","Done",G168-TODAY()))</f>
        <v/>
      </c>
      <c r="K168" s="23"/>
    </row>
    <row r="169" customFormat="false" ht="19.5" hidden="false" customHeight="true" outlineLevel="0" collapsed="false">
      <c r="A169" s="20" t="str">
        <f aca="false">IF(C169="","",ROW()-2)</f>
        <v/>
      </c>
      <c r="B169" s="34"/>
      <c r="C169" s="34"/>
      <c r="D169" s="20"/>
      <c r="E169" s="34"/>
      <c r="F169" s="20"/>
      <c r="G169" s="29"/>
      <c r="H169" s="34"/>
      <c r="I169" s="20"/>
      <c r="J169" s="20" t="str">
        <f aca="true">IF(C169="","",IF(I169="Done","Done",G169-TODAY()))</f>
        <v/>
      </c>
      <c r="K169" s="20"/>
    </row>
    <row r="170" customFormat="false" ht="19.5" hidden="false" customHeight="true" outlineLevel="0" collapsed="false">
      <c r="A170" s="23" t="str">
        <f aca="false">IF(C170="","",ROW()-2)</f>
        <v/>
      </c>
      <c r="B170" s="37"/>
      <c r="C170" s="37"/>
      <c r="D170" s="23"/>
      <c r="E170" s="37"/>
      <c r="F170" s="23"/>
      <c r="G170" s="31"/>
      <c r="H170" s="37"/>
      <c r="I170" s="23"/>
      <c r="J170" s="23" t="str">
        <f aca="true">IF(C170="","",IF(I170="Done","Done",G170-TODAY()))</f>
        <v/>
      </c>
      <c r="K170" s="23"/>
    </row>
    <row r="171" customFormat="false" ht="19.5" hidden="false" customHeight="true" outlineLevel="0" collapsed="false">
      <c r="A171" s="20" t="str">
        <f aca="false">IF(C171="","",ROW()-2)</f>
        <v/>
      </c>
      <c r="B171" s="34"/>
      <c r="C171" s="34"/>
      <c r="D171" s="20"/>
      <c r="E171" s="34"/>
      <c r="F171" s="20"/>
      <c r="G171" s="29"/>
      <c r="H171" s="34"/>
      <c r="I171" s="20"/>
      <c r="J171" s="20" t="str">
        <f aca="true">IF(C171="","",IF(I171="Done","Done",G171-TODAY()))</f>
        <v/>
      </c>
      <c r="K171" s="20"/>
    </row>
    <row r="172" customFormat="false" ht="19.5" hidden="false" customHeight="true" outlineLevel="0" collapsed="false">
      <c r="A172" s="23" t="str">
        <f aca="false">IF(C172="","",ROW()-2)</f>
        <v/>
      </c>
      <c r="B172" s="37"/>
      <c r="C172" s="37"/>
      <c r="D172" s="23"/>
      <c r="E172" s="37"/>
      <c r="F172" s="23"/>
      <c r="G172" s="31"/>
      <c r="H172" s="37"/>
      <c r="I172" s="23"/>
      <c r="J172" s="23" t="str">
        <f aca="true">IF(C172="","",IF(I172="Done","Done",G172-TODAY()))</f>
        <v/>
      </c>
      <c r="K172" s="23"/>
    </row>
    <row r="173" customFormat="false" ht="19.5" hidden="false" customHeight="true" outlineLevel="0" collapsed="false">
      <c r="A173" s="20" t="str">
        <f aca="false">IF(C173="","",ROW()-2)</f>
        <v/>
      </c>
      <c r="B173" s="34"/>
      <c r="C173" s="34"/>
      <c r="D173" s="20"/>
      <c r="E173" s="34"/>
      <c r="F173" s="20"/>
      <c r="G173" s="29"/>
      <c r="H173" s="34"/>
      <c r="I173" s="20"/>
      <c r="J173" s="20" t="str">
        <f aca="true">IF(C173="","",IF(I173="Done","Done",G173-TODAY()))</f>
        <v/>
      </c>
      <c r="K173" s="20"/>
    </row>
    <row r="174" customFormat="false" ht="19.5" hidden="false" customHeight="true" outlineLevel="0" collapsed="false">
      <c r="A174" s="23" t="str">
        <f aca="false">IF(C174="","",ROW()-2)</f>
        <v/>
      </c>
      <c r="B174" s="37"/>
      <c r="C174" s="37"/>
      <c r="D174" s="23"/>
      <c r="E174" s="37"/>
      <c r="F174" s="23"/>
      <c r="G174" s="31"/>
      <c r="H174" s="37"/>
      <c r="I174" s="23"/>
      <c r="J174" s="23" t="str">
        <f aca="true">IF(C174="","",IF(I174="Done","Done",G174-TODAY()))</f>
        <v/>
      </c>
      <c r="K174" s="23"/>
    </row>
    <row r="175" customFormat="false" ht="19.5" hidden="false" customHeight="true" outlineLevel="0" collapsed="false">
      <c r="A175" s="20" t="str">
        <f aca="false">IF(C175="","",ROW()-2)</f>
        <v/>
      </c>
      <c r="B175" s="34"/>
      <c r="C175" s="34"/>
      <c r="D175" s="20"/>
      <c r="E175" s="34"/>
      <c r="F175" s="20"/>
      <c r="G175" s="29"/>
      <c r="H175" s="34"/>
      <c r="I175" s="20"/>
      <c r="J175" s="20" t="str">
        <f aca="true">IF(C175="","",IF(I175="Done","Done",G175-TODAY()))</f>
        <v/>
      </c>
      <c r="K175" s="20"/>
    </row>
    <row r="176" customFormat="false" ht="19.5" hidden="false" customHeight="true" outlineLevel="0" collapsed="false">
      <c r="A176" s="23" t="str">
        <f aca="false">IF(C176="","",ROW()-2)</f>
        <v/>
      </c>
      <c r="B176" s="37"/>
      <c r="C176" s="37"/>
      <c r="D176" s="23"/>
      <c r="E176" s="37"/>
      <c r="F176" s="23"/>
      <c r="G176" s="31"/>
      <c r="H176" s="37"/>
      <c r="I176" s="23"/>
      <c r="J176" s="23" t="str">
        <f aca="true">IF(C176="","",IF(I176="Done","Done",G176-TODAY()))</f>
        <v/>
      </c>
      <c r="K176" s="23"/>
    </row>
    <row r="177" customFormat="false" ht="19.5" hidden="false" customHeight="true" outlineLevel="0" collapsed="false">
      <c r="A177" s="20" t="str">
        <f aca="false">IF(C177="","",ROW()-2)</f>
        <v/>
      </c>
      <c r="B177" s="34"/>
      <c r="C177" s="34"/>
      <c r="D177" s="20"/>
      <c r="E177" s="34"/>
      <c r="F177" s="20"/>
      <c r="G177" s="29"/>
      <c r="H177" s="34"/>
      <c r="I177" s="20"/>
      <c r="J177" s="20" t="str">
        <f aca="true">IF(C177="","",IF(I177="Done","Done",G177-TODAY()))</f>
        <v/>
      </c>
      <c r="K177" s="20"/>
    </row>
    <row r="178" customFormat="false" ht="19.5" hidden="false" customHeight="true" outlineLevel="0" collapsed="false">
      <c r="A178" s="23" t="str">
        <f aca="false">IF(C178="","",ROW()-2)</f>
        <v/>
      </c>
      <c r="B178" s="37"/>
      <c r="C178" s="37"/>
      <c r="D178" s="23"/>
      <c r="E178" s="37"/>
      <c r="F178" s="23"/>
      <c r="G178" s="31"/>
      <c r="H178" s="37"/>
      <c r="I178" s="23"/>
      <c r="J178" s="23" t="str">
        <f aca="true">IF(C178="","",IF(I178="Done","Done",G178-TODAY()))</f>
        <v/>
      </c>
      <c r="K178" s="23"/>
    </row>
    <row r="179" customFormat="false" ht="19.5" hidden="false" customHeight="true" outlineLevel="0" collapsed="false">
      <c r="A179" s="20" t="str">
        <f aca="false">IF(C179="","",ROW()-2)</f>
        <v/>
      </c>
      <c r="B179" s="34"/>
      <c r="C179" s="34"/>
      <c r="D179" s="20"/>
      <c r="E179" s="34"/>
      <c r="F179" s="20"/>
      <c r="G179" s="29"/>
      <c r="H179" s="34"/>
      <c r="I179" s="20"/>
      <c r="J179" s="20" t="str">
        <f aca="true">IF(C179="","",IF(I179="Done","Done",G179-TODAY()))</f>
        <v/>
      </c>
      <c r="K179" s="20"/>
    </row>
    <row r="180" customFormat="false" ht="19.5" hidden="false" customHeight="true" outlineLevel="0" collapsed="false">
      <c r="A180" s="23" t="str">
        <f aca="false">IF(C180="","",ROW()-2)</f>
        <v/>
      </c>
      <c r="B180" s="37"/>
      <c r="C180" s="37"/>
      <c r="D180" s="23"/>
      <c r="E180" s="37"/>
      <c r="F180" s="23"/>
      <c r="G180" s="31"/>
      <c r="H180" s="37"/>
      <c r="I180" s="23"/>
      <c r="J180" s="23" t="str">
        <f aca="true">IF(C180="","",IF(I180="Done","Done",G180-TODAY()))</f>
        <v/>
      </c>
      <c r="K180" s="23"/>
    </row>
    <row r="181" customFormat="false" ht="19.5" hidden="false" customHeight="true" outlineLevel="0" collapsed="false">
      <c r="A181" s="20" t="str">
        <f aca="false">IF(C181="","",ROW()-2)</f>
        <v/>
      </c>
      <c r="B181" s="34"/>
      <c r="C181" s="34"/>
      <c r="D181" s="20"/>
      <c r="E181" s="34"/>
      <c r="F181" s="20"/>
      <c r="G181" s="29"/>
      <c r="H181" s="34"/>
      <c r="I181" s="20"/>
      <c r="J181" s="20" t="str">
        <f aca="true">IF(C181="","",IF(I181="Done","Done",G181-TODAY()))</f>
        <v/>
      </c>
      <c r="K181" s="20"/>
    </row>
    <row r="182" customFormat="false" ht="19.5" hidden="false" customHeight="true" outlineLevel="0" collapsed="false">
      <c r="A182" s="23" t="str">
        <f aca="false">IF(C182="","",ROW()-2)</f>
        <v/>
      </c>
      <c r="B182" s="37"/>
      <c r="C182" s="37"/>
      <c r="D182" s="23"/>
      <c r="E182" s="37"/>
      <c r="F182" s="23"/>
      <c r="G182" s="31"/>
      <c r="H182" s="37"/>
      <c r="I182" s="23"/>
      <c r="J182" s="23" t="str">
        <f aca="true">IF(C182="","",IF(I182="Done","Done",G182-TODAY()))</f>
        <v/>
      </c>
      <c r="K182" s="23"/>
    </row>
    <row r="183" customFormat="false" ht="19.5" hidden="false" customHeight="true" outlineLevel="0" collapsed="false">
      <c r="A183" s="20" t="str">
        <f aca="false">IF(C183="","",ROW()-2)</f>
        <v/>
      </c>
      <c r="B183" s="34"/>
      <c r="C183" s="34"/>
      <c r="D183" s="20"/>
      <c r="E183" s="34"/>
      <c r="F183" s="20"/>
      <c r="G183" s="29"/>
      <c r="H183" s="34"/>
      <c r="I183" s="20"/>
      <c r="J183" s="20" t="str">
        <f aca="true">IF(C183="","",IF(I183="Done","Done",G183-TODAY()))</f>
        <v/>
      </c>
      <c r="K183" s="20"/>
    </row>
    <row r="184" customFormat="false" ht="19.5" hidden="false" customHeight="true" outlineLevel="0" collapsed="false">
      <c r="A184" s="23" t="str">
        <f aca="false">IF(C184="","",ROW()-2)</f>
        <v/>
      </c>
      <c r="B184" s="37"/>
      <c r="C184" s="37"/>
      <c r="D184" s="23"/>
      <c r="E184" s="37"/>
      <c r="F184" s="23"/>
      <c r="G184" s="31"/>
      <c r="H184" s="37"/>
      <c r="I184" s="23"/>
      <c r="J184" s="23" t="str">
        <f aca="true">IF(C184="","",IF(I184="Done","Done",G184-TODAY()))</f>
        <v/>
      </c>
      <c r="K184" s="23"/>
    </row>
    <row r="185" customFormat="false" ht="19.5" hidden="false" customHeight="true" outlineLevel="0" collapsed="false">
      <c r="A185" s="20" t="str">
        <f aca="false">IF(C185="","",ROW()-2)</f>
        <v/>
      </c>
      <c r="B185" s="34"/>
      <c r="C185" s="34"/>
      <c r="D185" s="20"/>
      <c r="E185" s="34"/>
      <c r="F185" s="20"/>
      <c r="G185" s="29"/>
      <c r="H185" s="34"/>
      <c r="I185" s="20"/>
      <c r="J185" s="20" t="str">
        <f aca="true">IF(C185="","",IF(I185="Done","Done",G185-TODAY()))</f>
        <v/>
      </c>
      <c r="K185" s="20"/>
    </row>
    <row r="186" customFormat="false" ht="19.5" hidden="false" customHeight="true" outlineLevel="0" collapsed="false">
      <c r="A186" s="23" t="str">
        <f aca="false">IF(C186="","",ROW()-2)</f>
        <v/>
      </c>
      <c r="B186" s="37"/>
      <c r="C186" s="37"/>
      <c r="D186" s="23"/>
      <c r="E186" s="37"/>
      <c r="F186" s="23"/>
      <c r="G186" s="31"/>
      <c r="H186" s="37"/>
      <c r="I186" s="23"/>
      <c r="J186" s="23" t="str">
        <f aca="true">IF(C186="","",IF(I186="Done","Done",G186-TODAY()))</f>
        <v/>
      </c>
      <c r="K186" s="23"/>
    </row>
    <row r="187" customFormat="false" ht="19.5" hidden="false" customHeight="true" outlineLevel="0" collapsed="false">
      <c r="A187" s="20" t="str">
        <f aca="false">IF(C187="","",ROW()-2)</f>
        <v/>
      </c>
      <c r="B187" s="34"/>
      <c r="C187" s="34"/>
      <c r="D187" s="20"/>
      <c r="E187" s="34"/>
      <c r="F187" s="20"/>
      <c r="G187" s="29"/>
      <c r="H187" s="34"/>
      <c r="I187" s="20"/>
      <c r="J187" s="20" t="str">
        <f aca="true">IF(C187="","",IF(I187="Done","Done",G187-TODAY()))</f>
        <v/>
      </c>
      <c r="K187" s="20"/>
    </row>
    <row r="188" customFormat="false" ht="19.5" hidden="false" customHeight="true" outlineLevel="0" collapsed="false">
      <c r="A188" s="23" t="str">
        <f aca="false">IF(C188="","",ROW()-2)</f>
        <v/>
      </c>
      <c r="B188" s="37"/>
      <c r="C188" s="37"/>
      <c r="D188" s="23"/>
      <c r="E188" s="37"/>
      <c r="F188" s="23"/>
      <c r="G188" s="31"/>
      <c r="H188" s="37"/>
      <c r="I188" s="23"/>
      <c r="J188" s="23" t="str">
        <f aca="true">IF(C188="","",IF(I188="Done","Done",G188-TODAY()))</f>
        <v/>
      </c>
      <c r="K188" s="23"/>
    </row>
    <row r="189" customFormat="false" ht="19.5" hidden="false" customHeight="true" outlineLevel="0" collapsed="false">
      <c r="A189" s="20" t="str">
        <f aca="false">IF(C189="","",ROW()-2)</f>
        <v/>
      </c>
      <c r="B189" s="34"/>
      <c r="C189" s="34"/>
      <c r="D189" s="20"/>
      <c r="E189" s="34"/>
      <c r="F189" s="20"/>
      <c r="G189" s="29"/>
      <c r="H189" s="34"/>
      <c r="I189" s="20"/>
      <c r="J189" s="20" t="str">
        <f aca="true">IF(C189="","",IF(I189="Done","Done",G189-TODAY()))</f>
        <v/>
      </c>
      <c r="K189" s="20"/>
    </row>
    <row r="190" customFormat="false" ht="19.5" hidden="false" customHeight="true" outlineLevel="0" collapsed="false">
      <c r="A190" s="23" t="str">
        <f aca="false">IF(C190="","",ROW()-2)</f>
        <v/>
      </c>
      <c r="B190" s="37"/>
      <c r="C190" s="37"/>
      <c r="D190" s="23"/>
      <c r="E190" s="37"/>
      <c r="F190" s="23"/>
      <c r="G190" s="31"/>
      <c r="H190" s="37"/>
      <c r="I190" s="23"/>
      <c r="J190" s="23" t="str">
        <f aca="true">IF(C190="","",IF(I190="Done","Done",G190-TODAY()))</f>
        <v/>
      </c>
      <c r="K190" s="23"/>
    </row>
    <row r="191" customFormat="false" ht="19.5" hidden="false" customHeight="true" outlineLevel="0" collapsed="false">
      <c r="A191" s="20" t="str">
        <f aca="false">IF(C191="","",ROW()-2)</f>
        <v/>
      </c>
      <c r="B191" s="34"/>
      <c r="C191" s="34"/>
      <c r="D191" s="20"/>
      <c r="E191" s="34"/>
      <c r="F191" s="20"/>
      <c r="G191" s="29"/>
      <c r="H191" s="34"/>
      <c r="I191" s="20"/>
      <c r="J191" s="20" t="str">
        <f aca="true">IF(C191="","",IF(I191="Done","Done",G191-TODAY()))</f>
        <v/>
      </c>
      <c r="K191" s="20"/>
    </row>
    <row r="192" customFormat="false" ht="19.5" hidden="false" customHeight="true" outlineLevel="0" collapsed="false">
      <c r="A192" s="23" t="str">
        <f aca="false">IF(C192="","",ROW()-2)</f>
        <v/>
      </c>
      <c r="B192" s="37"/>
      <c r="C192" s="37"/>
      <c r="D192" s="23"/>
      <c r="E192" s="37"/>
      <c r="F192" s="23"/>
      <c r="G192" s="31"/>
      <c r="H192" s="37"/>
      <c r="I192" s="23"/>
      <c r="J192" s="23" t="str">
        <f aca="true">IF(C192="","",IF(I192="Done","Done",G192-TODAY()))</f>
        <v/>
      </c>
      <c r="K192" s="23"/>
    </row>
    <row r="193" customFormat="false" ht="19.5" hidden="false" customHeight="true" outlineLevel="0" collapsed="false">
      <c r="A193" s="20" t="str">
        <f aca="false">IF(C193="","",ROW()-2)</f>
        <v/>
      </c>
      <c r="B193" s="34"/>
      <c r="C193" s="34"/>
      <c r="D193" s="20"/>
      <c r="E193" s="34"/>
      <c r="F193" s="20"/>
      <c r="G193" s="29"/>
      <c r="H193" s="34"/>
      <c r="I193" s="20"/>
      <c r="J193" s="20" t="str">
        <f aca="true">IF(C193="","",IF(I193="Done","Done",G193-TODAY()))</f>
        <v/>
      </c>
      <c r="K193" s="20"/>
    </row>
    <row r="194" customFormat="false" ht="19.5" hidden="false" customHeight="true" outlineLevel="0" collapsed="false">
      <c r="A194" s="23" t="str">
        <f aca="false">IF(C194="","",ROW()-2)</f>
        <v/>
      </c>
      <c r="B194" s="37"/>
      <c r="C194" s="37"/>
      <c r="D194" s="23"/>
      <c r="E194" s="37"/>
      <c r="F194" s="23"/>
      <c r="G194" s="31"/>
      <c r="H194" s="37"/>
      <c r="I194" s="23"/>
      <c r="J194" s="23" t="str">
        <f aca="true">IF(C194="","",IF(I194="Done","Done",G194-TODAY()))</f>
        <v/>
      </c>
      <c r="K194" s="23"/>
    </row>
    <row r="195" customFormat="false" ht="19.5" hidden="false" customHeight="true" outlineLevel="0" collapsed="false">
      <c r="A195" s="20" t="str">
        <f aca="false">IF(C195="","",ROW()-2)</f>
        <v/>
      </c>
      <c r="B195" s="34"/>
      <c r="C195" s="34"/>
      <c r="D195" s="20"/>
      <c r="E195" s="34"/>
      <c r="F195" s="20"/>
      <c r="G195" s="29"/>
      <c r="H195" s="34"/>
      <c r="I195" s="20"/>
      <c r="J195" s="20" t="str">
        <f aca="true">IF(C195="","",IF(I195="Done","Done",G195-TODAY()))</f>
        <v/>
      </c>
      <c r="K195" s="20"/>
    </row>
    <row r="196" customFormat="false" ht="19.5" hidden="false" customHeight="true" outlineLevel="0" collapsed="false">
      <c r="A196" s="23" t="str">
        <f aca="false">IF(C196="","",ROW()-2)</f>
        <v/>
      </c>
      <c r="B196" s="37"/>
      <c r="C196" s="37"/>
      <c r="D196" s="23"/>
      <c r="E196" s="37"/>
      <c r="F196" s="23"/>
      <c r="G196" s="31"/>
      <c r="H196" s="37"/>
      <c r="I196" s="23"/>
      <c r="J196" s="23" t="str">
        <f aca="true">IF(C196="","",IF(I196="Done","Done",G196-TODAY()))</f>
        <v/>
      </c>
      <c r="K196" s="23"/>
    </row>
    <row r="197" customFormat="false" ht="19.5" hidden="false" customHeight="true" outlineLevel="0" collapsed="false">
      <c r="A197" s="20" t="str">
        <f aca="false">IF(C197="","",ROW()-2)</f>
        <v/>
      </c>
      <c r="B197" s="34"/>
      <c r="C197" s="34"/>
      <c r="D197" s="20"/>
      <c r="E197" s="34"/>
      <c r="F197" s="20"/>
      <c r="G197" s="29"/>
      <c r="H197" s="34"/>
      <c r="I197" s="20"/>
      <c r="J197" s="20" t="str">
        <f aca="true">IF(C197="","",IF(I197="Done","Done",G197-TODAY()))</f>
        <v/>
      </c>
      <c r="K197" s="20"/>
    </row>
    <row r="198" customFormat="false" ht="19.5" hidden="false" customHeight="true" outlineLevel="0" collapsed="false">
      <c r="A198" s="23" t="str">
        <f aca="false">IF(C198="","",ROW()-2)</f>
        <v/>
      </c>
      <c r="B198" s="37"/>
      <c r="C198" s="37"/>
      <c r="D198" s="23"/>
      <c r="E198" s="37"/>
      <c r="F198" s="23"/>
      <c r="G198" s="31"/>
      <c r="H198" s="37"/>
      <c r="I198" s="23"/>
      <c r="J198" s="23" t="str">
        <f aca="true">IF(C198="","",IF(I198="Done","Done",G198-TODAY()))</f>
        <v/>
      </c>
      <c r="K198" s="23"/>
    </row>
    <row r="199" customFormat="false" ht="19.5" hidden="false" customHeight="true" outlineLevel="0" collapsed="false">
      <c r="A199" s="20" t="str">
        <f aca="false">IF(C199="","",ROW()-2)</f>
        <v/>
      </c>
      <c r="B199" s="34"/>
      <c r="C199" s="34"/>
      <c r="D199" s="20"/>
      <c r="E199" s="34"/>
      <c r="F199" s="20"/>
      <c r="G199" s="29"/>
      <c r="H199" s="34"/>
      <c r="I199" s="20"/>
      <c r="J199" s="20" t="str">
        <f aca="true">IF(C199="","",IF(I199="Done","Done",G199-TODAY()))</f>
        <v/>
      </c>
      <c r="K199" s="20"/>
    </row>
    <row r="200" customFormat="false" ht="19.5" hidden="false" customHeight="true" outlineLevel="0" collapsed="false">
      <c r="A200" s="23" t="str">
        <f aca="false">IF(C200="","",ROW()-2)</f>
        <v/>
      </c>
      <c r="B200" s="37"/>
      <c r="C200" s="37"/>
      <c r="D200" s="23"/>
      <c r="E200" s="37"/>
      <c r="F200" s="23"/>
      <c r="G200" s="31"/>
      <c r="H200" s="37"/>
      <c r="I200" s="23"/>
      <c r="J200" s="23" t="str">
        <f aca="true">IF(C200="","",IF(I200="Done","Done",G200-TODAY()))</f>
        <v/>
      </c>
      <c r="K200" s="23"/>
    </row>
    <row r="201" customFormat="false" ht="19.5" hidden="false" customHeight="true" outlineLevel="0" collapsed="false">
      <c r="A201" s="20" t="str">
        <f aca="false">IF(C201="","",ROW()-2)</f>
        <v/>
      </c>
      <c r="B201" s="34"/>
      <c r="C201" s="34"/>
      <c r="D201" s="20"/>
      <c r="E201" s="34"/>
      <c r="F201" s="20"/>
      <c r="G201" s="29"/>
      <c r="H201" s="34"/>
      <c r="I201" s="20"/>
      <c r="J201" s="20" t="str">
        <f aca="true">IF(C201="","",IF(I201="Done","Done",G201-TODAY()))</f>
        <v/>
      </c>
      <c r="K201" s="20"/>
    </row>
    <row r="202" customFormat="false" ht="19.5" hidden="false" customHeight="true" outlineLevel="0" collapsed="false">
      <c r="A202" s="23" t="str">
        <f aca="false">IF(C202="","",ROW()-2)</f>
        <v/>
      </c>
      <c r="B202" s="37"/>
      <c r="C202" s="37"/>
      <c r="D202" s="23"/>
      <c r="E202" s="37"/>
      <c r="F202" s="23"/>
      <c r="G202" s="31"/>
      <c r="H202" s="37"/>
      <c r="I202" s="23"/>
      <c r="J202" s="23" t="str">
        <f aca="true">IF(C202="","",IF(I202="Done","Done",G202-TODAY()))</f>
        <v/>
      </c>
      <c r="K202" s="23"/>
    </row>
  </sheetData>
  <autoFilter ref="A2:K202"/>
  <mergeCells count="1">
    <mergeCell ref="A1:K1"/>
  </mergeCells>
  <conditionalFormatting sqref="A3:K202">
    <cfRule type="expression" priority="2" aboveAverage="0" equalAverage="0" bottom="0" percent="0" rank="0" text="" dxfId="0">
      <formula>$I3="Overdue"</formula>
    </cfRule>
    <cfRule type="expression" priority="3" aboveAverage="0" equalAverage="0" bottom="0" percent="0" rank="0" text="" dxfId="1">
      <formula>$I3="Pending"</formula>
    </cfRule>
    <cfRule type="expression" priority="4" aboveAverage="0" equalAverage="0" bottom="0" percent="0" rank="0" text="" dxfId="2">
      <formula>$I3="In Progress"</formula>
    </cfRule>
    <cfRule type="expression" priority="5" aboveAverage="0" equalAverage="0" bottom="0" percent="0" rank="0" text="" dxfId="15">
      <formula>$I3="Done"</formula>
    </cfRule>
    <cfRule type="expression" priority="6" aboveAverage="0" equalAverage="0" bottom="0" percent="0" rank="0" text="" dxfId="16">
      <formula>$I3="Not Started"</formula>
    </cfRule>
  </conditionalFormatting>
  <dataValidations count="6">
    <dataValidation allowBlank="true" errorStyle="stop" operator="between" showDropDown="false" showErrorMessage="false" showInputMessage="false" sqref="B3:B202" type="list">
      <formula1>DeptList</formula1>
      <formula2>0</formula2>
    </dataValidation>
    <dataValidation allowBlank="true" errorStyle="stop" operator="between" showDropDown="false" showErrorMessage="false" showInputMessage="false" sqref="D3:D202" type="list">
      <formula1>AssigneeList</formula1>
      <formula2>0</formula2>
    </dataValidation>
    <dataValidation allowBlank="true" errorStyle="stop" operator="between" showDropDown="false" showErrorMessage="false" showInputMessage="false" sqref="E3:E202" type="list">
      <formula1>ClientList</formula1>
      <formula2>0</formula2>
    </dataValidation>
    <dataValidation allowBlank="true" errorStyle="stop" operator="between" showDropDown="false" showErrorMessage="false" showInputMessage="false" sqref="F3:F202" type="list">
      <formula1>PriorityList</formula1>
      <formula2>0</formula2>
    </dataValidation>
    <dataValidation allowBlank="true" errorStyle="stop" operator="between" showDropDown="false" showErrorMessage="false" showInputMessage="false" sqref="I3:I202" type="list">
      <formula1>StatusList</formula1>
      <formula2>0</formula2>
    </dataValidation>
    <dataValidation allowBlank="true" errorStyle="stop" operator="between" showDropDown="false" showErrorMessage="false" showInputMessage="false" sqref="K3:K202" type="list">
      <formula1>AddedByList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36" hidden="false" customHeight="true" outlineLevel="0" collapsed="false">
      <c r="A1" s="39" t="s">
        <v>99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27.75" hidden="false" customHeight="true" outlineLevel="0" collapsed="false">
      <c r="A2" s="40" t="s">
        <v>100</v>
      </c>
      <c r="B2" s="40"/>
      <c r="C2" s="41" t="s">
        <v>11</v>
      </c>
      <c r="D2" s="41"/>
      <c r="E2" s="41"/>
      <c r="F2" s="42" t="str">
        <f aca="false">"Total: "&amp;TEXT(COUNTIF('Task Tracker'!E3:E202,C2),"0")</f>
        <v>Total: 2</v>
      </c>
      <c r="G2" s="42" t="str">
        <f aca="false">"Overdue: "&amp;TEXT(COUNTIFS('Task Tracker'!E3:E202,C2,'Task Tracker'!I3:I202,"Overdue"),"0")</f>
        <v>Overdue: 0</v>
      </c>
      <c r="H2" s="42" t="str">
        <f aca="false">"Pending: "&amp;TEXT(COUNTIFS('Task Tracker'!E3:E202,C2,'Task Tracker'!I3:I202,"Pending"),"0")</f>
        <v>Pending: 2</v>
      </c>
      <c r="I2" s="42" t="str">
        <f aca="false">"In Prog: "&amp;TEXT(COUNTIFS('Task Tracker'!E3:E202,C2,'Task Tracker'!I3:I202,"In Progress"),"0")</f>
        <v>In Prog: 0</v>
      </c>
      <c r="J2" s="42" t="str">
        <f aca="false">"Done: "&amp;TEXT(COUNTIFS('Task Tracker'!E3:E202,C2,'Task Tracker'!I3:I202,"Done"),"0")</f>
        <v>Done: 0</v>
      </c>
    </row>
    <row r="3" customFormat="false" ht="19.5" hidden="false" customHeight="true" outlineLevel="0" collapsed="false">
      <c r="A3" s="27" t="s">
        <v>44</v>
      </c>
      <c r="B3" s="27" t="s">
        <v>45</v>
      </c>
      <c r="C3" s="27" t="s">
        <v>46</v>
      </c>
      <c r="D3" s="27" t="s">
        <v>47</v>
      </c>
      <c r="E3" s="27" t="s">
        <v>35</v>
      </c>
      <c r="F3" s="27" t="s">
        <v>48</v>
      </c>
      <c r="G3" s="27" t="s">
        <v>49</v>
      </c>
      <c r="H3" s="27" t="s">
        <v>50</v>
      </c>
      <c r="I3" s="27" t="s">
        <v>51</v>
      </c>
      <c r="J3" s="27" t="s">
        <v>52</v>
      </c>
    </row>
    <row r="4" customFormat="false" ht="21.75" hidden="false" customHeight="true" outlineLevel="0" collapsed="false">
      <c r="A4" s="20" t="str">
        <f aca="false">IFERROR(filter('Task Tracker'!B3:K202,('Task Tracker'!E3:E202=C2)*('Task Tracker'!C3:C202&lt;&gt;"")),"No tasks found for this client")</f>
        <v>No tasks found for this client</v>
      </c>
      <c r="B4" s="28"/>
      <c r="C4" s="28"/>
      <c r="D4" s="20"/>
      <c r="E4" s="28"/>
      <c r="F4" s="20"/>
      <c r="G4" s="29"/>
      <c r="H4" s="28"/>
      <c r="I4" s="20"/>
      <c r="J4" s="20"/>
    </row>
    <row r="5" customFormat="false" ht="21.75" hidden="false" customHeight="true" outlineLevel="0" collapsed="false">
      <c r="A5" s="23"/>
      <c r="B5" s="30"/>
      <c r="C5" s="30"/>
      <c r="D5" s="23"/>
      <c r="E5" s="30"/>
      <c r="F5" s="23"/>
      <c r="G5" s="31"/>
      <c r="H5" s="30"/>
      <c r="I5" s="23"/>
      <c r="J5" s="23"/>
    </row>
    <row r="6" customFormat="false" ht="21.75" hidden="false" customHeight="true" outlineLevel="0" collapsed="false">
      <c r="A6" s="20"/>
      <c r="B6" s="28"/>
      <c r="C6" s="28"/>
      <c r="D6" s="20"/>
      <c r="E6" s="28"/>
      <c r="F6" s="20"/>
      <c r="G6" s="29"/>
      <c r="H6" s="28"/>
      <c r="I6" s="20"/>
      <c r="J6" s="20"/>
    </row>
    <row r="7" customFormat="false" ht="21.75" hidden="false" customHeight="true" outlineLevel="0" collapsed="false">
      <c r="A7" s="23"/>
      <c r="B7" s="30"/>
      <c r="C7" s="30"/>
      <c r="D7" s="23"/>
      <c r="E7" s="30"/>
      <c r="F7" s="23"/>
      <c r="G7" s="31"/>
      <c r="H7" s="30"/>
      <c r="I7" s="23"/>
      <c r="J7" s="23"/>
    </row>
    <row r="8" customFormat="false" ht="21.75" hidden="false" customHeight="true" outlineLevel="0" collapsed="false">
      <c r="A8" s="20"/>
      <c r="B8" s="28"/>
      <c r="C8" s="28"/>
      <c r="D8" s="20"/>
      <c r="E8" s="28"/>
      <c r="F8" s="20"/>
      <c r="G8" s="29"/>
      <c r="H8" s="28"/>
      <c r="I8" s="20"/>
      <c r="J8" s="20"/>
    </row>
    <row r="9" customFormat="false" ht="21.75" hidden="false" customHeight="true" outlineLevel="0" collapsed="false">
      <c r="A9" s="23"/>
      <c r="B9" s="30"/>
      <c r="C9" s="30"/>
      <c r="D9" s="23"/>
      <c r="E9" s="30"/>
      <c r="F9" s="23"/>
      <c r="G9" s="31"/>
      <c r="H9" s="30"/>
      <c r="I9" s="23"/>
      <c r="J9" s="23"/>
    </row>
    <row r="10" customFormat="false" ht="21.75" hidden="false" customHeight="true" outlineLevel="0" collapsed="false">
      <c r="A10" s="20"/>
      <c r="B10" s="28"/>
      <c r="C10" s="28"/>
      <c r="D10" s="20"/>
      <c r="E10" s="28"/>
      <c r="F10" s="20"/>
      <c r="G10" s="29"/>
      <c r="H10" s="28"/>
      <c r="I10" s="20"/>
      <c r="J10" s="20"/>
    </row>
    <row r="11" customFormat="false" ht="21.75" hidden="false" customHeight="true" outlineLevel="0" collapsed="false">
      <c r="A11" s="23"/>
      <c r="B11" s="30"/>
      <c r="C11" s="30"/>
      <c r="D11" s="23"/>
      <c r="E11" s="30"/>
      <c r="F11" s="23"/>
      <c r="G11" s="31"/>
      <c r="H11" s="30"/>
      <c r="I11" s="23"/>
      <c r="J11" s="23"/>
    </row>
    <row r="12" customFormat="false" ht="21.75" hidden="false" customHeight="true" outlineLevel="0" collapsed="false">
      <c r="A12" s="20"/>
      <c r="B12" s="28"/>
      <c r="C12" s="28"/>
      <c r="D12" s="20"/>
      <c r="E12" s="28"/>
      <c r="F12" s="20"/>
      <c r="G12" s="29"/>
      <c r="H12" s="28"/>
      <c r="I12" s="20"/>
      <c r="J12" s="20"/>
    </row>
    <row r="13" customFormat="false" ht="21.75" hidden="false" customHeight="true" outlineLevel="0" collapsed="false">
      <c r="A13" s="23"/>
      <c r="B13" s="30"/>
      <c r="C13" s="30"/>
      <c r="D13" s="23"/>
      <c r="E13" s="30"/>
      <c r="F13" s="23"/>
      <c r="G13" s="31"/>
      <c r="H13" s="30"/>
      <c r="I13" s="23"/>
      <c r="J13" s="23"/>
    </row>
    <row r="14" customFormat="false" ht="21.75" hidden="false" customHeight="true" outlineLevel="0" collapsed="false">
      <c r="A14" s="20"/>
      <c r="B14" s="28"/>
      <c r="C14" s="28"/>
      <c r="D14" s="20"/>
      <c r="E14" s="28"/>
      <c r="F14" s="20"/>
      <c r="G14" s="29"/>
      <c r="H14" s="28"/>
      <c r="I14" s="20"/>
      <c r="J14" s="20"/>
    </row>
    <row r="15" customFormat="false" ht="21.75" hidden="false" customHeight="true" outlineLevel="0" collapsed="false">
      <c r="A15" s="23"/>
      <c r="B15" s="30"/>
      <c r="C15" s="30"/>
      <c r="D15" s="23"/>
      <c r="E15" s="30"/>
      <c r="F15" s="23"/>
      <c r="G15" s="31"/>
      <c r="H15" s="30"/>
      <c r="I15" s="23"/>
      <c r="J15" s="23"/>
    </row>
    <row r="16" customFormat="false" ht="21.75" hidden="false" customHeight="true" outlineLevel="0" collapsed="false">
      <c r="A16" s="20"/>
      <c r="B16" s="28"/>
      <c r="C16" s="28"/>
      <c r="D16" s="20"/>
      <c r="E16" s="28"/>
      <c r="F16" s="20"/>
      <c r="G16" s="29"/>
      <c r="H16" s="28"/>
      <c r="I16" s="20"/>
      <c r="J16" s="20"/>
    </row>
    <row r="17" customFormat="false" ht="21.75" hidden="false" customHeight="true" outlineLevel="0" collapsed="false">
      <c r="A17" s="23"/>
      <c r="B17" s="30"/>
      <c r="C17" s="30"/>
      <c r="D17" s="23"/>
      <c r="E17" s="30"/>
      <c r="F17" s="23"/>
      <c r="G17" s="31"/>
      <c r="H17" s="30"/>
      <c r="I17" s="23"/>
      <c r="J17" s="23"/>
    </row>
    <row r="18" customFormat="false" ht="21.75" hidden="false" customHeight="true" outlineLevel="0" collapsed="false">
      <c r="A18" s="20"/>
      <c r="B18" s="28"/>
      <c r="C18" s="28"/>
      <c r="D18" s="20"/>
      <c r="E18" s="28"/>
      <c r="F18" s="20"/>
      <c r="G18" s="29"/>
      <c r="H18" s="28"/>
      <c r="I18" s="20"/>
      <c r="J18" s="20"/>
    </row>
    <row r="19" customFormat="false" ht="21.75" hidden="false" customHeight="true" outlineLevel="0" collapsed="false">
      <c r="A19" s="23"/>
      <c r="B19" s="30"/>
      <c r="C19" s="30"/>
      <c r="D19" s="23"/>
      <c r="E19" s="30"/>
      <c r="F19" s="23"/>
      <c r="G19" s="31"/>
      <c r="H19" s="30"/>
      <c r="I19" s="23"/>
      <c r="J19" s="23"/>
    </row>
    <row r="20" customFormat="false" ht="21.75" hidden="false" customHeight="true" outlineLevel="0" collapsed="false">
      <c r="A20" s="20"/>
      <c r="B20" s="28"/>
      <c r="C20" s="28"/>
      <c r="D20" s="20"/>
      <c r="E20" s="28"/>
      <c r="F20" s="20"/>
      <c r="G20" s="29"/>
      <c r="H20" s="28"/>
      <c r="I20" s="20"/>
      <c r="J20" s="20"/>
    </row>
    <row r="21" customFormat="false" ht="21.75" hidden="false" customHeight="true" outlineLevel="0" collapsed="false">
      <c r="A21" s="23"/>
      <c r="B21" s="30"/>
      <c r="C21" s="30"/>
      <c r="D21" s="23"/>
      <c r="E21" s="30"/>
      <c r="F21" s="23"/>
      <c r="G21" s="31"/>
      <c r="H21" s="30"/>
      <c r="I21" s="23"/>
      <c r="J21" s="23"/>
    </row>
    <row r="22" customFormat="false" ht="21.75" hidden="false" customHeight="true" outlineLevel="0" collapsed="false">
      <c r="A22" s="20"/>
      <c r="B22" s="28"/>
      <c r="C22" s="28"/>
      <c r="D22" s="20"/>
      <c r="E22" s="28"/>
      <c r="F22" s="20"/>
      <c r="G22" s="29"/>
      <c r="H22" s="28"/>
      <c r="I22" s="20"/>
      <c r="J22" s="20"/>
    </row>
    <row r="23" customFormat="false" ht="21.75" hidden="false" customHeight="true" outlineLevel="0" collapsed="false">
      <c r="A23" s="23"/>
      <c r="B23" s="30"/>
      <c r="C23" s="30"/>
      <c r="D23" s="23"/>
      <c r="E23" s="30"/>
      <c r="F23" s="23"/>
      <c r="G23" s="31"/>
      <c r="H23" s="30"/>
      <c r="I23" s="23"/>
      <c r="J23" s="23"/>
    </row>
    <row r="24" customFormat="false" ht="21.75" hidden="false" customHeight="true" outlineLevel="0" collapsed="false">
      <c r="A24" s="20"/>
      <c r="B24" s="28"/>
      <c r="C24" s="28"/>
      <c r="D24" s="20"/>
      <c r="E24" s="28"/>
      <c r="F24" s="20"/>
      <c r="G24" s="29"/>
      <c r="H24" s="28"/>
      <c r="I24" s="20"/>
      <c r="J24" s="20"/>
    </row>
    <row r="25" customFormat="false" ht="21.75" hidden="false" customHeight="true" outlineLevel="0" collapsed="false">
      <c r="A25" s="23"/>
      <c r="B25" s="30"/>
      <c r="C25" s="30"/>
      <c r="D25" s="23"/>
      <c r="E25" s="30"/>
      <c r="F25" s="23"/>
      <c r="G25" s="31"/>
      <c r="H25" s="30"/>
      <c r="I25" s="23"/>
      <c r="J25" s="23"/>
    </row>
    <row r="26" customFormat="false" ht="21.75" hidden="false" customHeight="true" outlineLevel="0" collapsed="false">
      <c r="A26" s="20"/>
      <c r="B26" s="28"/>
      <c r="C26" s="28"/>
      <c r="D26" s="20"/>
      <c r="E26" s="28"/>
      <c r="F26" s="20"/>
      <c r="G26" s="29"/>
      <c r="H26" s="28"/>
      <c r="I26" s="20"/>
      <c r="J26" s="20"/>
    </row>
    <row r="27" customFormat="false" ht="21.75" hidden="false" customHeight="true" outlineLevel="0" collapsed="false">
      <c r="A27" s="23"/>
      <c r="B27" s="30"/>
      <c r="C27" s="30"/>
      <c r="D27" s="23"/>
      <c r="E27" s="30"/>
      <c r="F27" s="23"/>
      <c r="G27" s="31"/>
      <c r="H27" s="30"/>
      <c r="I27" s="23"/>
      <c r="J27" s="23"/>
    </row>
    <row r="28" customFormat="false" ht="21.75" hidden="false" customHeight="true" outlineLevel="0" collapsed="false">
      <c r="A28" s="20"/>
      <c r="B28" s="28"/>
      <c r="C28" s="28"/>
      <c r="D28" s="20"/>
      <c r="E28" s="28"/>
      <c r="F28" s="20"/>
      <c r="G28" s="29"/>
      <c r="H28" s="28"/>
      <c r="I28" s="20"/>
      <c r="J28" s="20"/>
    </row>
    <row r="29" customFormat="false" ht="21.75" hidden="false" customHeight="true" outlineLevel="0" collapsed="false">
      <c r="A29" s="23"/>
      <c r="B29" s="30"/>
      <c r="C29" s="30"/>
      <c r="D29" s="23"/>
      <c r="E29" s="30"/>
      <c r="F29" s="23"/>
      <c r="G29" s="31"/>
      <c r="H29" s="30"/>
      <c r="I29" s="23"/>
      <c r="J29" s="23"/>
    </row>
    <row r="30" customFormat="false" ht="21.75" hidden="false" customHeight="true" outlineLevel="0" collapsed="false">
      <c r="A30" s="20"/>
      <c r="B30" s="28"/>
      <c r="C30" s="28"/>
      <c r="D30" s="20"/>
      <c r="E30" s="28"/>
      <c r="F30" s="20"/>
      <c r="G30" s="29"/>
      <c r="H30" s="28"/>
      <c r="I30" s="20"/>
      <c r="J30" s="20"/>
    </row>
    <row r="31" customFormat="false" ht="21.75" hidden="false" customHeight="true" outlineLevel="0" collapsed="false">
      <c r="A31" s="23"/>
      <c r="B31" s="30"/>
      <c r="C31" s="30"/>
      <c r="D31" s="23"/>
      <c r="E31" s="30"/>
      <c r="F31" s="23"/>
      <c r="G31" s="31"/>
      <c r="H31" s="30"/>
      <c r="I31" s="23"/>
      <c r="J31" s="23"/>
    </row>
    <row r="32" customFormat="false" ht="21.75" hidden="false" customHeight="true" outlineLevel="0" collapsed="false">
      <c r="A32" s="20"/>
      <c r="B32" s="28"/>
      <c r="C32" s="28"/>
      <c r="D32" s="20"/>
      <c r="E32" s="28"/>
      <c r="F32" s="20"/>
      <c r="G32" s="29"/>
      <c r="H32" s="28"/>
      <c r="I32" s="20"/>
      <c r="J32" s="20"/>
    </row>
    <row r="33" customFormat="false" ht="21.75" hidden="false" customHeight="true" outlineLevel="0" collapsed="false">
      <c r="A33" s="23"/>
      <c r="B33" s="30"/>
      <c r="C33" s="30"/>
      <c r="D33" s="23"/>
      <c r="E33" s="30"/>
      <c r="F33" s="23"/>
      <c r="G33" s="31"/>
      <c r="H33" s="30"/>
      <c r="I33" s="23"/>
      <c r="J33" s="23"/>
    </row>
    <row r="34" customFormat="false" ht="21.75" hidden="false" customHeight="true" outlineLevel="0" collapsed="false">
      <c r="A34" s="20"/>
      <c r="B34" s="28"/>
      <c r="C34" s="28"/>
      <c r="D34" s="20"/>
      <c r="E34" s="28"/>
      <c r="F34" s="20"/>
      <c r="G34" s="29"/>
      <c r="H34" s="28"/>
      <c r="I34" s="20"/>
      <c r="J34" s="20"/>
    </row>
    <row r="35" customFormat="false" ht="21.75" hidden="false" customHeight="true" outlineLevel="0" collapsed="false">
      <c r="A35" s="23"/>
      <c r="B35" s="30"/>
      <c r="C35" s="30"/>
      <c r="D35" s="23"/>
      <c r="E35" s="30"/>
      <c r="F35" s="23"/>
      <c r="G35" s="31"/>
      <c r="H35" s="30"/>
      <c r="I35" s="23"/>
      <c r="J35" s="23"/>
    </row>
    <row r="36" customFormat="false" ht="21.75" hidden="false" customHeight="true" outlineLevel="0" collapsed="false">
      <c r="A36" s="20"/>
      <c r="B36" s="28"/>
      <c r="C36" s="28"/>
      <c r="D36" s="20"/>
      <c r="E36" s="28"/>
      <c r="F36" s="20"/>
      <c r="G36" s="29"/>
      <c r="H36" s="28"/>
      <c r="I36" s="20"/>
      <c r="J36" s="20"/>
    </row>
    <row r="37" customFormat="false" ht="21.75" hidden="false" customHeight="true" outlineLevel="0" collapsed="false">
      <c r="A37" s="23"/>
      <c r="B37" s="30"/>
      <c r="C37" s="30"/>
      <c r="D37" s="23"/>
      <c r="E37" s="30"/>
      <c r="F37" s="23"/>
      <c r="G37" s="31"/>
      <c r="H37" s="30"/>
      <c r="I37" s="23"/>
      <c r="J37" s="23"/>
    </row>
    <row r="38" customFormat="false" ht="21.75" hidden="false" customHeight="true" outlineLevel="0" collapsed="false">
      <c r="A38" s="20"/>
      <c r="B38" s="28"/>
      <c r="C38" s="28"/>
      <c r="D38" s="20"/>
      <c r="E38" s="28"/>
      <c r="F38" s="20"/>
      <c r="G38" s="29"/>
      <c r="H38" s="28"/>
      <c r="I38" s="20"/>
      <c r="J38" s="20"/>
    </row>
    <row r="39" customFormat="false" ht="21.75" hidden="false" customHeight="true" outlineLevel="0" collapsed="false">
      <c r="A39" s="23"/>
      <c r="B39" s="30"/>
      <c r="C39" s="30"/>
      <c r="D39" s="23"/>
      <c r="E39" s="30"/>
      <c r="F39" s="23"/>
      <c r="G39" s="31"/>
      <c r="H39" s="30"/>
      <c r="I39" s="23"/>
      <c r="J39" s="23"/>
    </row>
    <row r="40" customFormat="false" ht="21.75" hidden="false" customHeight="true" outlineLevel="0" collapsed="false">
      <c r="A40" s="20"/>
      <c r="B40" s="28"/>
      <c r="C40" s="28"/>
      <c r="D40" s="20"/>
      <c r="E40" s="28"/>
      <c r="F40" s="20"/>
      <c r="G40" s="29"/>
      <c r="H40" s="28"/>
      <c r="I40" s="20"/>
      <c r="J40" s="20"/>
    </row>
    <row r="41" customFormat="false" ht="21.75" hidden="false" customHeight="true" outlineLevel="0" collapsed="false">
      <c r="A41" s="23"/>
      <c r="B41" s="30"/>
      <c r="C41" s="30"/>
      <c r="D41" s="23"/>
      <c r="E41" s="30"/>
      <c r="F41" s="23"/>
      <c r="G41" s="31"/>
      <c r="H41" s="30"/>
      <c r="I41" s="23"/>
      <c r="J41" s="23"/>
    </row>
    <row r="42" customFormat="false" ht="21.75" hidden="false" customHeight="true" outlineLevel="0" collapsed="false">
      <c r="A42" s="20"/>
      <c r="B42" s="28"/>
      <c r="C42" s="28"/>
      <c r="D42" s="20"/>
      <c r="E42" s="28"/>
      <c r="F42" s="20"/>
      <c r="G42" s="29"/>
      <c r="H42" s="28"/>
      <c r="I42" s="20"/>
      <c r="J42" s="20"/>
    </row>
    <row r="43" customFormat="false" ht="21.75" hidden="false" customHeight="true" outlineLevel="0" collapsed="false">
      <c r="A43" s="23"/>
      <c r="B43" s="30"/>
      <c r="C43" s="30"/>
      <c r="D43" s="23"/>
      <c r="E43" s="30"/>
      <c r="F43" s="23"/>
      <c r="G43" s="31"/>
      <c r="H43" s="30"/>
      <c r="I43" s="23"/>
      <c r="J43" s="23"/>
    </row>
    <row r="44" customFormat="false" ht="21.75" hidden="false" customHeight="true" outlineLevel="0" collapsed="false">
      <c r="A44" s="20"/>
      <c r="B44" s="28"/>
      <c r="C44" s="28"/>
      <c r="D44" s="20"/>
      <c r="E44" s="28"/>
      <c r="F44" s="20"/>
      <c r="G44" s="29"/>
      <c r="H44" s="28"/>
      <c r="I44" s="20"/>
      <c r="J44" s="20"/>
    </row>
    <row r="45" customFormat="false" ht="21.75" hidden="false" customHeight="true" outlineLevel="0" collapsed="false">
      <c r="A45" s="23"/>
      <c r="B45" s="30"/>
      <c r="C45" s="30"/>
      <c r="D45" s="23"/>
      <c r="E45" s="30"/>
      <c r="F45" s="23"/>
      <c r="G45" s="31"/>
      <c r="H45" s="30"/>
      <c r="I45" s="23"/>
      <c r="J45" s="23"/>
    </row>
    <row r="46" customFormat="false" ht="21.75" hidden="false" customHeight="true" outlineLevel="0" collapsed="false">
      <c r="A46" s="20"/>
      <c r="B46" s="28"/>
      <c r="C46" s="28"/>
      <c r="D46" s="20"/>
      <c r="E46" s="28"/>
      <c r="F46" s="20"/>
      <c r="G46" s="29"/>
      <c r="H46" s="28"/>
      <c r="I46" s="20"/>
      <c r="J46" s="20"/>
    </row>
    <row r="47" customFormat="false" ht="21.75" hidden="false" customHeight="true" outlineLevel="0" collapsed="false">
      <c r="A47" s="23"/>
      <c r="B47" s="30"/>
      <c r="C47" s="30"/>
      <c r="D47" s="23"/>
      <c r="E47" s="30"/>
      <c r="F47" s="23"/>
      <c r="G47" s="31"/>
      <c r="H47" s="30"/>
      <c r="I47" s="23"/>
      <c r="J47" s="23"/>
    </row>
    <row r="48" customFormat="false" ht="21.75" hidden="false" customHeight="true" outlineLevel="0" collapsed="false">
      <c r="A48" s="20"/>
      <c r="B48" s="28"/>
      <c r="C48" s="28"/>
      <c r="D48" s="20"/>
      <c r="E48" s="28"/>
      <c r="F48" s="20"/>
      <c r="G48" s="29"/>
      <c r="H48" s="28"/>
      <c r="I48" s="20"/>
      <c r="J48" s="20"/>
    </row>
    <row r="49" customFormat="false" ht="21.75" hidden="false" customHeight="true" outlineLevel="0" collapsed="false">
      <c r="A49" s="23"/>
      <c r="B49" s="30"/>
      <c r="C49" s="30"/>
      <c r="D49" s="23"/>
      <c r="E49" s="30"/>
      <c r="F49" s="23"/>
      <c r="G49" s="31"/>
      <c r="H49" s="30"/>
      <c r="I49" s="23"/>
      <c r="J49" s="23"/>
    </row>
    <row r="50" customFormat="false" ht="21.75" hidden="false" customHeight="true" outlineLevel="0" collapsed="false">
      <c r="A50" s="20"/>
      <c r="B50" s="28"/>
      <c r="C50" s="28"/>
      <c r="D50" s="20"/>
      <c r="E50" s="28"/>
      <c r="F50" s="20"/>
      <c r="G50" s="29"/>
      <c r="H50" s="28"/>
      <c r="I50" s="20"/>
      <c r="J50" s="20"/>
    </row>
    <row r="51" customFormat="false" ht="21.75" hidden="false" customHeight="true" outlineLevel="0" collapsed="false">
      <c r="A51" s="23"/>
      <c r="B51" s="30"/>
      <c r="C51" s="30"/>
      <c r="D51" s="23"/>
      <c r="E51" s="30"/>
      <c r="F51" s="23"/>
      <c r="G51" s="31"/>
      <c r="H51" s="30"/>
      <c r="I51" s="23"/>
      <c r="J51" s="23"/>
    </row>
    <row r="52" customFormat="false" ht="21.75" hidden="false" customHeight="true" outlineLevel="0" collapsed="false">
      <c r="A52" s="20"/>
      <c r="B52" s="28"/>
      <c r="C52" s="28"/>
      <c r="D52" s="20"/>
      <c r="E52" s="28"/>
      <c r="F52" s="20"/>
      <c r="G52" s="29"/>
      <c r="H52" s="28"/>
      <c r="I52" s="20"/>
      <c r="J52" s="20"/>
    </row>
    <row r="53" customFormat="false" ht="21.75" hidden="false" customHeight="true" outlineLevel="0" collapsed="false">
      <c r="A53" s="23"/>
      <c r="B53" s="30"/>
      <c r="C53" s="30"/>
      <c r="D53" s="23"/>
      <c r="E53" s="30"/>
      <c r="F53" s="23"/>
      <c r="G53" s="31"/>
      <c r="H53" s="30"/>
      <c r="I53" s="23"/>
      <c r="J53" s="23"/>
    </row>
    <row r="54" customFormat="false" ht="21.75" hidden="false" customHeight="true" outlineLevel="0" collapsed="false">
      <c r="A54" s="20"/>
      <c r="B54" s="28"/>
      <c r="C54" s="28"/>
      <c r="D54" s="20"/>
      <c r="E54" s="28"/>
      <c r="F54" s="20"/>
      <c r="G54" s="29"/>
      <c r="H54" s="28"/>
      <c r="I54" s="20"/>
      <c r="J54" s="20"/>
    </row>
    <row r="55" customFormat="false" ht="21.75" hidden="false" customHeight="true" outlineLevel="0" collapsed="false">
      <c r="A55" s="23"/>
      <c r="B55" s="30"/>
      <c r="C55" s="30"/>
      <c r="D55" s="23"/>
      <c r="E55" s="30"/>
      <c r="F55" s="23"/>
      <c r="G55" s="31"/>
      <c r="H55" s="30"/>
      <c r="I55" s="23"/>
      <c r="J55" s="23"/>
    </row>
    <row r="56" customFormat="false" ht="21.75" hidden="false" customHeight="true" outlineLevel="0" collapsed="false">
      <c r="A56" s="20"/>
      <c r="B56" s="28"/>
      <c r="C56" s="28"/>
      <c r="D56" s="20"/>
      <c r="E56" s="28"/>
      <c r="F56" s="20"/>
      <c r="G56" s="29"/>
      <c r="H56" s="28"/>
      <c r="I56" s="20"/>
      <c r="J56" s="20"/>
    </row>
    <row r="57" customFormat="false" ht="21.75" hidden="false" customHeight="true" outlineLevel="0" collapsed="false">
      <c r="A57" s="23"/>
      <c r="B57" s="30"/>
      <c r="C57" s="30"/>
      <c r="D57" s="23"/>
      <c r="E57" s="30"/>
      <c r="F57" s="23"/>
      <c r="G57" s="31"/>
      <c r="H57" s="30"/>
      <c r="I57" s="23"/>
      <c r="J57" s="23"/>
    </row>
    <row r="58" customFormat="false" ht="21.75" hidden="false" customHeight="true" outlineLevel="0" collapsed="false">
      <c r="A58" s="20"/>
      <c r="B58" s="28"/>
      <c r="C58" s="28"/>
      <c r="D58" s="20"/>
      <c r="E58" s="28"/>
      <c r="F58" s="20"/>
      <c r="G58" s="29"/>
      <c r="H58" s="28"/>
      <c r="I58" s="20"/>
      <c r="J58" s="20"/>
    </row>
    <row r="59" customFormat="false" ht="21.75" hidden="false" customHeight="true" outlineLevel="0" collapsed="false">
      <c r="A59" s="23"/>
      <c r="B59" s="30"/>
      <c r="C59" s="30"/>
      <c r="D59" s="23"/>
      <c r="E59" s="30"/>
      <c r="F59" s="23"/>
      <c r="G59" s="31"/>
      <c r="H59" s="30"/>
      <c r="I59" s="23"/>
      <c r="J59" s="23"/>
    </row>
  </sheetData>
  <mergeCells count="3">
    <mergeCell ref="A1:J1"/>
    <mergeCell ref="A2:B2"/>
    <mergeCell ref="C2:E2"/>
  </mergeCells>
  <conditionalFormatting sqref="A4:J59">
    <cfRule type="expression" priority="2" aboveAverage="0" equalAverage="0" bottom="0" percent="0" rank="0" text="" dxfId="0">
      <formula>$I4="Overdue"</formula>
    </cfRule>
    <cfRule type="expression" priority="3" aboveAverage="0" equalAverage="0" bottom="0" percent="0" rank="0" text="" dxfId="1">
      <formula>$I4="Pending"</formula>
    </cfRule>
    <cfRule type="expression" priority="4" aboveAverage="0" equalAverage="0" bottom="0" percent="0" rank="0" text="" dxfId="2">
      <formula>$I4="In Progress"</formula>
    </cfRule>
    <cfRule type="expression" priority="5" aboveAverage="0" equalAverage="0" bottom="0" percent="0" rank="0" text="" dxfId="15">
      <formula>$I4="Done"</formula>
    </cfRule>
  </conditionalFormatting>
  <dataValidations count="1">
    <dataValidation allowBlank="false" errorStyle="stop" operator="between" showDropDown="false" showErrorMessage="false" showInputMessage="false" sqref="C2" type="list">
      <formula1>ClientList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A745"/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36" hidden="false" customHeight="true" outlineLevel="0" collapsed="false">
      <c r="A1" s="39" t="s">
        <v>101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27.75" hidden="false" customHeight="true" outlineLevel="0" collapsed="false">
      <c r="A2" s="40" t="s">
        <v>102</v>
      </c>
      <c r="B2" s="40"/>
      <c r="C2" s="41" t="s">
        <v>24</v>
      </c>
      <c r="D2" s="41"/>
      <c r="E2" s="41"/>
      <c r="F2" s="42" t="str">
        <f aca="false">"Total: "&amp;TEXT(COUNTIF('Task Tracker'!D3:D202,C2),"0")</f>
        <v>Total: 6</v>
      </c>
      <c r="G2" s="42" t="str">
        <f aca="false">"Overdue: "&amp;TEXT(COUNTIFS('Task Tracker'!D3:D202,C2,'Task Tracker'!I3:I202,"Overdue"),"0")</f>
        <v>Overdue: 2</v>
      </c>
      <c r="H2" s="42" t="str">
        <f aca="false">"Pending: "&amp;TEXT(COUNTIFS('Task Tracker'!D3:D202,C2,'Task Tracker'!I3:I202,"Pending"),"0")</f>
        <v>Pending: 4</v>
      </c>
      <c r="I2" s="42" t="str">
        <f aca="false">"In Prog: "&amp;TEXT(COUNTIFS('Task Tracker'!D3:D202,C2,'Task Tracker'!I3:I202,"In Progress"),"0")</f>
        <v>In Prog: 0</v>
      </c>
      <c r="J2" s="42" t="str">
        <f aca="false">"Done: "&amp;TEXT(COUNTIFS('Task Tracker'!D3:D202,C2,'Task Tracker'!I3:I202,"Done"),"0")</f>
        <v>Done: 0</v>
      </c>
    </row>
    <row r="3" customFormat="false" ht="19.5" hidden="false" customHeight="true" outlineLevel="0" collapsed="false">
      <c r="A3" s="27" t="s">
        <v>44</v>
      </c>
      <c r="B3" s="27" t="s">
        <v>45</v>
      </c>
      <c r="C3" s="27" t="s">
        <v>46</v>
      </c>
      <c r="D3" s="27" t="s">
        <v>47</v>
      </c>
      <c r="E3" s="27" t="s">
        <v>35</v>
      </c>
      <c r="F3" s="27" t="s">
        <v>48</v>
      </c>
      <c r="G3" s="27" t="s">
        <v>49</v>
      </c>
      <c r="H3" s="27" t="s">
        <v>50</v>
      </c>
      <c r="I3" s="27" t="s">
        <v>51</v>
      </c>
      <c r="J3" s="27" t="s">
        <v>52</v>
      </c>
    </row>
    <row r="4" customFormat="false" ht="21.75" hidden="false" customHeight="true" outlineLevel="0" collapsed="false">
      <c r="A4" s="20" t="str">
        <f aca="false">IFERROR(filter('Task Tracker'!B3:K202,('Task Tracker'!D3:D202=C2)*('Task Tracker'!C3:C202&lt;&gt;"")),"No tasks found for this assignee")</f>
        <v>No tasks found for this assignee</v>
      </c>
      <c r="B4" s="28"/>
      <c r="C4" s="28"/>
      <c r="D4" s="20"/>
      <c r="E4" s="28"/>
      <c r="F4" s="20"/>
      <c r="G4" s="29"/>
      <c r="H4" s="28"/>
      <c r="I4" s="20"/>
      <c r="J4" s="20"/>
    </row>
    <row r="5" customFormat="false" ht="21.75" hidden="false" customHeight="true" outlineLevel="0" collapsed="false">
      <c r="A5" s="23"/>
      <c r="B5" s="30"/>
      <c r="C5" s="30"/>
      <c r="D5" s="23"/>
      <c r="E5" s="30"/>
      <c r="F5" s="23"/>
      <c r="G5" s="31"/>
      <c r="H5" s="30"/>
      <c r="I5" s="23"/>
      <c r="J5" s="23"/>
    </row>
    <row r="6" customFormat="false" ht="21.75" hidden="false" customHeight="true" outlineLevel="0" collapsed="false">
      <c r="A6" s="20"/>
      <c r="B6" s="28"/>
      <c r="C6" s="28"/>
      <c r="D6" s="20"/>
      <c r="E6" s="28"/>
      <c r="F6" s="20"/>
      <c r="G6" s="29"/>
      <c r="H6" s="28"/>
      <c r="I6" s="20"/>
      <c r="J6" s="20"/>
    </row>
    <row r="7" customFormat="false" ht="21.75" hidden="false" customHeight="true" outlineLevel="0" collapsed="false">
      <c r="A7" s="23"/>
      <c r="B7" s="30"/>
      <c r="C7" s="30"/>
      <c r="D7" s="23"/>
      <c r="E7" s="30"/>
      <c r="F7" s="23"/>
      <c r="G7" s="31"/>
      <c r="H7" s="30"/>
      <c r="I7" s="23"/>
      <c r="J7" s="23"/>
    </row>
    <row r="8" customFormat="false" ht="21.75" hidden="false" customHeight="true" outlineLevel="0" collapsed="false">
      <c r="A8" s="20"/>
      <c r="B8" s="28"/>
      <c r="C8" s="28"/>
      <c r="D8" s="20"/>
      <c r="E8" s="28"/>
      <c r="F8" s="20"/>
      <c r="G8" s="29"/>
      <c r="H8" s="28"/>
      <c r="I8" s="20"/>
      <c r="J8" s="20"/>
    </row>
    <row r="9" customFormat="false" ht="21.75" hidden="false" customHeight="true" outlineLevel="0" collapsed="false">
      <c r="A9" s="23"/>
      <c r="B9" s="30"/>
      <c r="C9" s="30"/>
      <c r="D9" s="23"/>
      <c r="E9" s="30"/>
      <c r="F9" s="23"/>
      <c r="G9" s="31"/>
      <c r="H9" s="30"/>
      <c r="I9" s="23"/>
      <c r="J9" s="23"/>
    </row>
    <row r="10" customFormat="false" ht="21.75" hidden="false" customHeight="true" outlineLevel="0" collapsed="false">
      <c r="A10" s="20"/>
      <c r="B10" s="28"/>
      <c r="C10" s="28"/>
      <c r="D10" s="20"/>
      <c r="E10" s="28"/>
      <c r="F10" s="20"/>
      <c r="G10" s="29"/>
      <c r="H10" s="28"/>
      <c r="I10" s="20"/>
      <c r="J10" s="20"/>
    </row>
    <row r="11" customFormat="false" ht="21.75" hidden="false" customHeight="true" outlineLevel="0" collapsed="false">
      <c r="A11" s="23"/>
      <c r="B11" s="30"/>
      <c r="C11" s="30"/>
      <c r="D11" s="23"/>
      <c r="E11" s="30"/>
      <c r="F11" s="23"/>
      <c r="G11" s="31"/>
      <c r="H11" s="30"/>
      <c r="I11" s="23"/>
      <c r="J11" s="23"/>
    </row>
    <row r="12" customFormat="false" ht="21.75" hidden="false" customHeight="true" outlineLevel="0" collapsed="false">
      <c r="A12" s="20"/>
      <c r="B12" s="28"/>
      <c r="C12" s="28"/>
      <c r="D12" s="20"/>
      <c r="E12" s="28"/>
      <c r="F12" s="20"/>
      <c r="G12" s="29"/>
      <c r="H12" s="28"/>
      <c r="I12" s="20"/>
      <c r="J12" s="20"/>
    </row>
    <row r="13" customFormat="false" ht="21.75" hidden="false" customHeight="true" outlineLevel="0" collapsed="false">
      <c r="A13" s="23"/>
      <c r="B13" s="30"/>
      <c r="C13" s="30"/>
      <c r="D13" s="23"/>
      <c r="E13" s="30"/>
      <c r="F13" s="23"/>
      <c r="G13" s="31"/>
      <c r="H13" s="30"/>
      <c r="I13" s="23"/>
      <c r="J13" s="23"/>
    </row>
    <row r="14" customFormat="false" ht="21.75" hidden="false" customHeight="true" outlineLevel="0" collapsed="false">
      <c r="A14" s="20"/>
      <c r="B14" s="28"/>
      <c r="C14" s="28"/>
      <c r="D14" s="20"/>
      <c r="E14" s="28"/>
      <c r="F14" s="20"/>
      <c r="G14" s="29"/>
      <c r="H14" s="28"/>
      <c r="I14" s="20"/>
      <c r="J14" s="20"/>
    </row>
    <row r="15" customFormat="false" ht="21.75" hidden="false" customHeight="true" outlineLevel="0" collapsed="false">
      <c r="A15" s="23"/>
      <c r="B15" s="30"/>
      <c r="C15" s="30"/>
      <c r="D15" s="23"/>
      <c r="E15" s="30"/>
      <c r="F15" s="23"/>
      <c r="G15" s="31"/>
      <c r="H15" s="30"/>
      <c r="I15" s="23"/>
      <c r="J15" s="23"/>
    </row>
    <row r="16" customFormat="false" ht="21.75" hidden="false" customHeight="true" outlineLevel="0" collapsed="false">
      <c r="A16" s="20"/>
      <c r="B16" s="28"/>
      <c r="C16" s="28"/>
      <c r="D16" s="20"/>
      <c r="E16" s="28"/>
      <c r="F16" s="20"/>
      <c r="G16" s="29"/>
      <c r="H16" s="28"/>
      <c r="I16" s="20"/>
      <c r="J16" s="20"/>
    </row>
    <row r="17" customFormat="false" ht="21.75" hidden="false" customHeight="true" outlineLevel="0" collapsed="false">
      <c r="A17" s="23"/>
      <c r="B17" s="30"/>
      <c r="C17" s="30"/>
      <c r="D17" s="23"/>
      <c r="E17" s="30"/>
      <c r="F17" s="23"/>
      <c r="G17" s="31"/>
      <c r="H17" s="30"/>
      <c r="I17" s="23"/>
      <c r="J17" s="23"/>
    </row>
    <row r="18" customFormat="false" ht="21.75" hidden="false" customHeight="true" outlineLevel="0" collapsed="false">
      <c r="A18" s="20"/>
      <c r="B18" s="28"/>
      <c r="C18" s="28"/>
      <c r="D18" s="20"/>
      <c r="E18" s="28"/>
      <c r="F18" s="20"/>
      <c r="G18" s="29"/>
      <c r="H18" s="28"/>
      <c r="I18" s="20"/>
      <c r="J18" s="20"/>
    </row>
    <row r="19" customFormat="false" ht="21.75" hidden="false" customHeight="true" outlineLevel="0" collapsed="false">
      <c r="A19" s="23"/>
      <c r="B19" s="30"/>
      <c r="C19" s="30"/>
      <c r="D19" s="23"/>
      <c r="E19" s="30"/>
      <c r="F19" s="23"/>
      <c r="G19" s="31"/>
      <c r="H19" s="30"/>
      <c r="I19" s="23"/>
      <c r="J19" s="23"/>
    </row>
    <row r="20" customFormat="false" ht="21.75" hidden="false" customHeight="true" outlineLevel="0" collapsed="false">
      <c r="A20" s="20"/>
      <c r="B20" s="28"/>
      <c r="C20" s="28"/>
      <c r="D20" s="20"/>
      <c r="E20" s="28"/>
      <c r="F20" s="20"/>
      <c r="G20" s="29"/>
      <c r="H20" s="28"/>
      <c r="I20" s="20"/>
      <c r="J20" s="20"/>
    </row>
    <row r="21" customFormat="false" ht="21.75" hidden="false" customHeight="true" outlineLevel="0" collapsed="false">
      <c r="A21" s="23"/>
      <c r="B21" s="30"/>
      <c r="C21" s="30"/>
      <c r="D21" s="23"/>
      <c r="E21" s="30"/>
      <c r="F21" s="23"/>
      <c r="G21" s="31"/>
      <c r="H21" s="30"/>
      <c r="I21" s="23"/>
      <c r="J21" s="23"/>
    </row>
    <row r="22" customFormat="false" ht="21.75" hidden="false" customHeight="true" outlineLevel="0" collapsed="false">
      <c r="A22" s="20"/>
      <c r="B22" s="28"/>
      <c r="C22" s="28"/>
      <c r="D22" s="20"/>
      <c r="E22" s="28"/>
      <c r="F22" s="20"/>
      <c r="G22" s="29"/>
      <c r="H22" s="28"/>
      <c r="I22" s="20"/>
      <c r="J22" s="20"/>
    </row>
    <row r="23" customFormat="false" ht="21.75" hidden="false" customHeight="true" outlineLevel="0" collapsed="false">
      <c r="A23" s="23"/>
      <c r="B23" s="30"/>
      <c r="C23" s="30"/>
      <c r="D23" s="23"/>
      <c r="E23" s="30"/>
      <c r="F23" s="23"/>
      <c r="G23" s="31"/>
      <c r="H23" s="30"/>
      <c r="I23" s="23"/>
      <c r="J23" s="23"/>
    </row>
    <row r="24" customFormat="false" ht="21.75" hidden="false" customHeight="true" outlineLevel="0" collapsed="false">
      <c r="A24" s="20"/>
      <c r="B24" s="28"/>
      <c r="C24" s="28"/>
      <c r="D24" s="20"/>
      <c r="E24" s="28"/>
      <c r="F24" s="20"/>
      <c r="G24" s="29"/>
      <c r="H24" s="28"/>
      <c r="I24" s="20"/>
      <c r="J24" s="20"/>
    </row>
    <row r="25" customFormat="false" ht="21.75" hidden="false" customHeight="true" outlineLevel="0" collapsed="false">
      <c r="A25" s="23"/>
      <c r="B25" s="30"/>
      <c r="C25" s="30"/>
      <c r="D25" s="23"/>
      <c r="E25" s="30"/>
      <c r="F25" s="23"/>
      <c r="G25" s="31"/>
      <c r="H25" s="30"/>
      <c r="I25" s="23"/>
      <c r="J25" s="23"/>
    </row>
    <row r="26" customFormat="false" ht="21.75" hidden="false" customHeight="true" outlineLevel="0" collapsed="false">
      <c r="A26" s="20"/>
      <c r="B26" s="28"/>
      <c r="C26" s="28"/>
      <c r="D26" s="20"/>
      <c r="E26" s="28"/>
      <c r="F26" s="20"/>
      <c r="G26" s="29"/>
      <c r="H26" s="28"/>
      <c r="I26" s="20"/>
      <c r="J26" s="20"/>
    </row>
    <row r="27" customFormat="false" ht="21.75" hidden="false" customHeight="true" outlineLevel="0" collapsed="false">
      <c r="A27" s="23"/>
      <c r="B27" s="30"/>
      <c r="C27" s="30"/>
      <c r="D27" s="23"/>
      <c r="E27" s="30"/>
      <c r="F27" s="23"/>
      <c r="G27" s="31"/>
      <c r="H27" s="30"/>
      <c r="I27" s="23"/>
      <c r="J27" s="23"/>
    </row>
    <row r="28" customFormat="false" ht="21.75" hidden="false" customHeight="true" outlineLevel="0" collapsed="false">
      <c r="A28" s="20"/>
      <c r="B28" s="28"/>
      <c r="C28" s="28"/>
      <c r="D28" s="20"/>
      <c r="E28" s="28"/>
      <c r="F28" s="20"/>
      <c r="G28" s="29"/>
      <c r="H28" s="28"/>
      <c r="I28" s="20"/>
      <c r="J28" s="20"/>
    </row>
    <row r="29" customFormat="false" ht="21.75" hidden="false" customHeight="true" outlineLevel="0" collapsed="false">
      <c r="A29" s="23"/>
      <c r="B29" s="30"/>
      <c r="C29" s="30"/>
      <c r="D29" s="23"/>
      <c r="E29" s="30"/>
      <c r="F29" s="23"/>
      <c r="G29" s="31"/>
      <c r="H29" s="30"/>
      <c r="I29" s="23"/>
      <c r="J29" s="23"/>
    </row>
    <row r="30" customFormat="false" ht="21.75" hidden="false" customHeight="true" outlineLevel="0" collapsed="false">
      <c r="A30" s="20"/>
      <c r="B30" s="28"/>
      <c r="C30" s="28"/>
      <c r="D30" s="20"/>
      <c r="E30" s="28"/>
      <c r="F30" s="20"/>
      <c r="G30" s="29"/>
      <c r="H30" s="28"/>
      <c r="I30" s="20"/>
      <c r="J30" s="20"/>
    </row>
    <row r="31" customFormat="false" ht="21.75" hidden="false" customHeight="true" outlineLevel="0" collapsed="false">
      <c r="A31" s="23"/>
      <c r="B31" s="30"/>
      <c r="C31" s="30"/>
      <c r="D31" s="23"/>
      <c r="E31" s="30"/>
      <c r="F31" s="23"/>
      <c r="G31" s="31"/>
      <c r="H31" s="30"/>
      <c r="I31" s="23"/>
      <c r="J31" s="23"/>
    </row>
    <row r="32" customFormat="false" ht="21.75" hidden="false" customHeight="true" outlineLevel="0" collapsed="false">
      <c r="A32" s="20"/>
      <c r="B32" s="28"/>
      <c r="C32" s="28"/>
      <c r="D32" s="20"/>
      <c r="E32" s="28"/>
      <c r="F32" s="20"/>
      <c r="G32" s="29"/>
      <c r="H32" s="28"/>
      <c r="I32" s="20"/>
      <c r="J32" s="20"/>
    </row>
    <row r="33" customFormat="false" ht="21.75" hidden="false" customHeight="true" outlineLevel="0" collapsed="false">
      <c r="A33" s="23"/>
      <c r="B33" s="30"/>
      <c r="C33" s="30"/>
      <c r="D33" s="23"/>
      <c r="E33" s="30"/>
      <c r="F33" s="23"/>
      <c r="G33" s="31"/>
      <c r="H33" s="30"/>
      <c r="I33" s="23"/>
      <c r="J33" s="23"/>
    </row>
    <row r="34" customFormat="false" ht="21.75" hidden="false" customHeight="true" outlineLevel="0" collapsed="false">
      <c r="A34" s="20"/>
      <c r="B34" s="28"/>
      <c r="C34" s="28"/>
      <c r="D34" s="20"/>
      <c r="E34" s="28"/>
      <c r="F34" s="20"/>
      <c r="G34" s="29"/>
      <c r="H34" s="28"/>
      <c r="I34" s="20"/>
      <c r="J34" s="20"/>
    </row>
    <row r="35" customFormat="false" ht="21.75" hidden="false" customHeight="true" outlineLevel="0" collapsed="false">
      <c r="A35" s="23"/>
      <c r="B35" s="30"/>
      <c r="C35" s="30"/>
      <c r="D35" s="23"/>
      <c r="E35" s="30"/>
      <c r="F35" s="23"/>
      <c r="G35" s="31"/>
      <c r="H35" s="30"/>
      <c r="I35" s="23"/>
      <c r="J35" s="23"/>
    </row>
    <row r="36" customFormat="false" ht="21.75" hidden="false" customHeight="true" outlineLevel="0" collapsed="false">
      <c r="A36" s="20"/>
      <c r="B36" s="28"/>
      <c r="C36" s="28"/>
      <c r="D36" s="20"/>
      <c r="E36" s="28"/>
      <c r="F36" s="20"/>
      <c r="G36" s="29"/>
      <c r="H36" s="28"/>
      <c r="I36" s="20"/>
      <c r="J36" s="20"/>
    </row>
    <row r="37" customFormat="false" ht="21.75" hidden="false" customHeight="true" outlineLevel="0" collapsed="false">
      <c r="A37" s="23"/>
      <c r="B37" s="30"/>
      <c r="C37" s="30"/>
      <c r="D37" s="23"/>
      <c r="E37" s="30"/>
      <c r="F37" s="23"/>
      <c r="G37" s="31"/>
      <c r="H37" s="30"/>
      <c r="I37" s="23"/>
      <c r="J37" s="23"/>
    </row>
    <row r="38" customFormat="false" ht="21.75" hidden="false" customHeight="true" outlineLevel="0" collapsed="false">
      <c r="A38" s="20"/>
      <c r="B38" s="28"/>
      <c r="C38" s="28"/>
      <c r="D38" s="20"/>
      <c r="E38" s="28"/>
      <c r="F38" s="20"/>
      <c r="G38" s="29"/>
      <c r="H38" s="28"/>
      <c r="I38" s="20"/>
      <c r="J38" s="20"/>
    </row>
    <row r="39" customFormat="false" ht="21.75" hidden="false" customHeight="true" outlineLevel="0" collapsed="false">
      <c r="A39" s="23"/>
      <c r="B39" s="30"/>
      <c r="C39" s="30"/>
      <c r="D39" s="23"/>
      <c r="E39" s="30"/>
      <c r="F39" s="23"/>
      <c r="G39" s="31"/>
      <c r="H39" s="30"/>
      <c r="I39" s="23"/>
      <c r="J39" s="23"/>
    </row>
    <row r="40" customFormat="false" ht="21.75" hidden="false" customHeight="true" outlineLevel="0" collapsed="false">
      <c r="A40" s="20"/>
      <c r="B40" s="28"/>
      <c r="C40" s="28"/>
      <c r="D40" s="20"/>
      <c r="E40" s="28"/>
      <c r="F40" s="20"/>
      <c r="G40" s="29"/>
      <c r="H40" s="28"/>
      <c r="I40" s="20"/>
      <c r="J40" s="20"/>
    </row>
    <row r="41" customFormat="false" ht="21.75" hidden="false" customHeight="true" outlineLevel="0" collapsed="false">
      <c r="A41" s="23"/>
      <c r="B41" s="30"/>
      <c r="C41" s="30"/>
      <c r="D41" s="23"/>
      <c r="E41" s="30"/>
      <c r="F41" s="23"/>
      <c r="G41" s="31"/>
      <c r="H41" s="30"/>
      <c r="I41" s="23"/>
      <c r="J41" s="23"/>
    </row>
    <row r="42" customFormat="false" ht="21.75" hidden="false" customHeight="true" outlineLevel="0" collapsed="false">
      <c r="A42" s="20"/>
      <c r="B42" s="28"/>
      <c r="C42" s="28"/>
      <c r="D42" s="20"/>
      <c r="E42" s="28"/>
      <c r="F42" s="20"/>
      <c r="G42" s="29"/>
      <c r="H42" s="28"/>
      <c r="I42" s="20"/>
      <c r="J42" s="20"/>
    </row>
    <row r="43" customFormat="false" ht="21.75" hidden="false" customHeight="true" outlineLevel="0" collapsed="false">
      <c r="A43" s="23"/>
      <c r="B43" s="30"/>
      <c r="C43" s="30"/>
      <c r="D43" s="23"/>
      <c r="E43" s="30"/>
      <c r="F43" s="23"/>
      <c r="G43" s="31"/>
      <c r="H43" s="30"/>
      <c r="I43" s="23"/>
      <c r="J43" s="23"/>
    </row>
    <row r="44" customFormat="false" ht="21.75" hidden="false" customHeight="true" outlineLevel="0" collapsed="false">
      <c r="A44" s="20"/>
      <c r="B44" s="28"/>
      <c r="C44" s="28"/>
      <c r="D44" s="20"/>
      <c r="E44" s="28"/>
      <c r="F44" s="20"/>
      <c r="G44" s="29"/>
      <c r="H44" s="28"/>
      <c r="I44" s="20"/>
      <c r="J44" s="20"/>
    </row>
    <row r="45" customFormat="false" ht="21.75" hidden="false" customHeight="true" outlineLevel="0" collapsed="false">
      <c r="A45" s="23"/>
      <c r="B45" s="30"/>
      <c r="C45" s="30"/>
      <c r="D45" s="23"/>
      <c r="E45" s="30"/>
      <c r="F45" s="23"/>
      <c r="G45" s="31"/>
      <c r="H45" s="30"/>
      <c r="I45" s="23"/>
      <c r="J45" s="23"/>
    </row>
    <row r="46" customFormat="false" ht="21.75" hidden="false" customHeight="true" outlineLevel="0" collapsed="false">
      <c r="A46" s="20"/>
      <c r="B46" s="28"/>
      <c r="C46" s="28"/>
      <c r="D46" s="20"/>
      <c r="E46" s="28"/>
      <c r="F46" s="20"/>
      <c r="G46" s="29"/>
      <c r="H46" s="28"/>
      <c r="I46" s="20"/>
      <c r="J46" s="20"/>
    </row>
    <row r="47" customFormat="false" ht="21.75" hidden="false" customHeight="true" outlineLevel="0" collapsed="false">
      <c r="A47" s="23"/>
      <c r="B47" s="30"/>
      <c r="C47" s="30"/>
      <c r="D47" s="23"/>
      <c r="E47" s="30"/>
      <c r="F47" s="23"/>
      <c r="G47" s="31"/>
      <c r="H47" s="30"/>
      <c r="I47" s="23"/>
      <c r="J47" s="23"/>
    </row>
    <row r="48" customFormat="false" ht="21.75" hidden="false" customHeight="true" outlineLevel="0" collapsed="false">
      <c r="A48" s="20"/>
      <c r="B48" s="28"/>
      <c r="C48" s="28"/>
      <c r="D48" s="20"/>
      <c r="E48" s="28"/>
      <c r="F48" s="20"/>
      <c r="G48" s="29"/>
      <c r="H48" s="28"/>
      <c r="I48" s="20"/>
      <c r="J48" s="20"/>
    </row>
    <row r="49" customFormat="false" ht="21.75" hidden="false" customHeight="true" outlineLevel="0" collapsed="false">
      <c r="A49" s="23"/>
      <c r="B49" s="30"/>
      <c r="C49" s="30"/>
      <c r="D49" s="23"/>
      <c r="E49" s="30"/>
      <c r="F49" s="23"/>
      <c r="G49" s="31"/>
      <c r="H49" s="30"/>
      <c r="I49" s="23"/>
      <c r="J49" s="23"/>
    </row>
    <row r="50" customFormat="false" ht="21.75" hidden="false" customHeight="true" outlineLevel="0" collapsed="false">
      <c r="A50" s="20"/>
      <c r="B50" s="28"/>
      <c r="C50" s="28"/>
      <c r="D50" s="20"/>
      <c r="E50" s="28"/>
      <c r="F50" s="20"/>
      <c r="G50" s="29"/>
      <c r="H50" s="28"/>
      <c r="I50" s="20"/>
      <c r="J50" s="20"/>
    </row>
    <row r="51" customFormat="false" ht="21.75" hidden="false" customHeight="true" outlineLevel="0" collapsed="false">
      <c r="A51" s="23"/>
      <c r="B51" s="30"/>
      <c r="C51" s="30"/>
      <c r="D51" s="23"/>
      <c r="E51" s="30"/>
      <c r="F51" s="23"/>
      <c r="G51" s="31"/>
      <c r="H51" s="30"/>
      <c r="I51" s="23"/>
      <c r="J51" s="23"/>
    </row>
    <row r="52" customFormat="false" ht="21.75" hidden="false" customHeight="true" outlineLevel="0" collapsed="false">
      <c r="A52" s="20"/>
      <c r="B52" s="28"/>
      <c r="C52" s="28"/>
      <c r="D52" s="20"/>
      <c r="E52" s="28"/>
      <c r="F52" s="20"/>
      <c r="G52" s="29"/>
      <c r="H52" s="28"/>
      <c r="I52" s="20"/>
      <c r="J52" s="20"/>
    </row>
    <row r="53" customFormat="false" ht="21.75" hidden="false" customHeight="true" outlineLevel="0" collapsed="false">
      <c r="A53" s="23"/>
      <c r="B53" s="30"/>
      <c r="C53" s="30"/>
      <c r="D53" s="23"/>
      <c r="E53" s="30"/>
      <c r="F53" s="23"/>
      <c r="G53" s="31"/>
      <c r="H53" s="30"/>
      <c r="I53" s="23"/>
      <c r="J53" s="23"/>
    </row>
    <row r="54" customFormat="false" ht="21.75" hidden="false" customHeight="true" outlineLevel="0" collapsed="false">
      <c r="A54" s="20"/>
      <c r="B54" s="28"/>
      <c r="C54" s="28"/>
      <c r="D54" s="20"/>
      <c r="E54" s="28"/>
      <c r="F54" s="20"/>
      <c r="G54" s="29"/>
      <c r="H54" s="28"/>
      <c r="I54" s="20"/>
      <c r="J54" s="20"/>
    </row>
    <row r="55" customFormat="false" ht="21.75" hidden="false" customHeight="true" outlineLevel="0" collapsed="false">
      <c r="A55" s="23"/>
      <c r="B55" s="30"/>
      <c r="C55" s="30"/>
      <c r="D55" s="23"/>
      <c r="E55" s="30"/>
      <c r="F55" s="23"/>
      <c r="G55" s="31"/>
      <c r="H55" s="30"/>
      <c r="I55" s="23"/>
      <c r="J55" s="23"/>
    </row>
    <row r="56" customFormat="false" ht="21.75" hidden="false" customHeight="true" outlineLevel="0" collapsed="false">
      <c r="A56" s="20"/>
      <c r="B56" s="28"/>
      <c r="C56" s="28"/>
      <c r="D56" s="20"/>
      <c r="E56" s="28"/>
      <c r="F56" s="20"/>
      <c r="G56" s="29"/>
      <c r="H56" s="28"/>
      <c r="I56" s="20"/>
      <c r="J56" s="20"/>
    </row>
    <row r="57" customFormat="false" ht="21.75" hidden="false" customHeight="true" outlineLevel="0" collapsed="false">
      <c r="A57" s="23"/>
      <c r="B57" s="30"/>
      <c r="C57" s="30"/>
      <c r="D57" s="23"/>
      <c r="E57" s="30"/>
      <c r="F57" s="23"/>
      <c r="G57" s="31"/>
      <c r="H57" s="30"/>
      <c r="I57" s="23"/>
      <c r="J57" s="23"/>
    </row>
    <row r="58" customFormat="false" ht="21.75" hidden="false" customHeight="true" outlineLevel="0" collapsed="false">
      <c r="A58" s="20"/>
      <c r="B58" s="28"/>
      <c r="C58" s="28"/>
      <c r="D58" s="20"/>
      <c r="E58" s="28"/>
      <c r="F58" s="20"/>
      <c r="G58" s="29"/>
      <c r="H58" s="28"/>
      <c r="I58" s="20"/>
      <c r="J58" s="20"/>
    </row>
    <row r="59" customFormat="false" ht="21.75" hidden="false" customHeight="true" outlineLevel="0" collapsed="false">
      <c r="A59" s="23"/>
      <c r="B59" s="30"/>
      <c r="C59" s="30"/>
      <c r="D59" s="23"/>
      <c r="E59" s="30"/>
      <c r="F59" s="23"/>
      <c r="G59" s="31"/>
      <c r="H59" s="30"/>
      <c r="I59" s="23"/>
      <c r="J59" s="23"/>
    </row>
  </sheetData>
  <mergeCells count="3">
    <mergeCell ref="A1:J1"/>
    <mergeCell ref="A2:B2"/>
    <mergeCell ref="C2:E2"/>
  </mergeCells>
  <conditionalFormatting sqref="A4:J59">
    <cfRule type="expression" priority="2" aboveAverage="0" equalAverage="0" bottom="0" percent="0" rank="0" text="" dxfId="0">
      <formula>$I4="Overdue"</formula>
    </cfRule>
    <cfRule type="expression" priority="3" aboveAverage="0" equalAverage="0" bottom="0" percent="0" rank="0" text="" dxfId="1">
      <formula>$I4="Pending"</formula>
    </cfRule>
    <cfRule type="expression" priority="4" aboveAverage="0" equalAverage="0" bottom="0" percent="0" rank="0" text="" dxfId="2">
      <formula>$I4="In Progress"</formula>
    </cfRule>
    <cfRule type="expression" priority="5" aboveAverage="0" equalAverage="0" bottom="0" percent="0" rank="0" text="" dxfId="15">
      <formula>$I4="Done"</formula>
    </cfRule>
  </conditionalFormatting>
  <dataValidations count="1">
    <dataValidation allowBlank="false" errorStyle="stop" operator="between" showDropDown="false" showErrorMessage="false" showInputMessage="false" sqref="C2" type="list">
      <formula1>AssigneeList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AAAAA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24</v>
      </c>
      <c r="B1" s="0" t="s">
        <v>11</v>
      </c>
      <c r="C1" s="0" t="s">
        <v>35</v>
      </c>
      <c r="D1" s="0" t="s">
        <v>57</v>
      </c>
      <c r="E1" s="0" t="s">
        <v>5</v>
      </c>
      <c r="F1" s="0" t="s">
        <v>24</v>
      </c>
    </row>
    <row r="2" customFormat="false" ht="15" hidden="false" customHeight="false" outlineLevel="0" collapsed="false">
      <c r="A2" s="0" t="s">
        <v>25</v>
      </c>
      <c r="B2" s="0" t="s">
        <v>12</v>
      </c>
      <c r="C2" s="0" t="s">
        <v>36</v>
      </c>
      <c r="D2" s="0" t="s">
        <v>66</v>
      </c>
      <c r="E2" s="0" t="s">
        <v>4</v>
      </c>
      <c r="F2" s="0" t="s">
        <v>25</v>
      </c>
    </row>
    <row r="3" customFormat="false" ht="15" hidden="false" customHeight="false" outlineLevel="0" collapsed="false">
      <c r="A3" s="0" t="s">
        <v>26</v>
      </c>
      <c r="B3" s="0" t="s">
        <v>13</v>
      </c>
      <c r="C3" s="0" t="s">
        <v>37</v>
      </c>
      <c r="D3" s="0" t="s">
        <v>73</v>
      </c>
      <c r="E3" s="0" t="s">
        <v>6</v>
      </c>
    </row>
    <row r="4" customFormat="false" ht="15" hidden="false" customHeight="false" outlineLevel="0" collapsed="false">
      <c r="A4" s="0" t="s">
        <v>27</v>
      </c>
      <c r="B4" s="0" t="s">
        <v>14</v>
      </c>
      <c r="C4" s="0" t="s">
        <v>38</v>
      </c>
      <c r="E4" s="0" t="s">
        <v>7</v>
      </c>
    </row>
    <row r="5" customFormat="false" ht="15" hidden="false" customHeight="false" outlineLevel="0" collapsed="false">
      <c r="A5" s="0" t="s">
        <v>28</v>
      </c>
      <c r="B5" s="0" t="s">
        <v>15</v>
      </c>
      <c r="C5" s="0" t="s">
        <v>39</v>
      </c>
      <c r="E5" s="0" t="s">
        <v>2</v>
      </c>
    </row>
    <row r="6" customFormat="false" ht="15" hidden="false" customHeight="false" outlineLevel="0" collapsed="false">
      <c r="A6" s="0" t="s">
        <v>29</v>
      </c>
      <c r="B6" s="0" t="s">
        <v>16</v>
      </c>
      <c r="C6" s="0" t="s">
        <v>40</v>
      </c>
    </row>
    <row r="7" customFormat="false" ht="15" hidden="false" customHeight="false" outlineLevel="0" collapsed="false">
      <c r="A7" s="0" t="s">
        <v>30</v>
      </c>
      <c r="B7" s="0" t="s">
        <v>17</v>
      </c>
      <c r="C7" s="0" t="s">
        <v>41</v>
      </c>
    </row>
    <row r="8" customFormat="false" ht="15" hidden="false" customHeight="false" outlineLevel="0" collapsed="false">
      <c r="A8" s="0" t="s">
        <v>31</v>
      </c>
      <c r="B8" s="0" t="s">
        <v>18</v>
      </c>
      <c r="C8" s="0" t="s">
        <v>42</v>
      </c>
    </row>
    <row r="9" customFormat="false" ht="15" hidden="false" customHeight="false" outlineLevel="0" collapsed="false">
      <c r="A9" s="0" t="s">
        <v>32</v>
      </c>
      <c r="B9" s="0" t="s">
        <v>19</v>
      </c>
    </row>
    <row r="10" customFormat="false" ht="15" hidden="false" customHeight="false" outlineLevel="0" collapsed="false">
      <c r="A10" s="0" t="s">
        <v>33</v>
      </c>
      <c r="B10" s="0" t="s">
        <v>20</v>
      </c>
    </row>
    <row r="11" customFormat="false" ht="15" hidden="false" customHeight="false" outlineLevel="0" collapsed="false">
      <c r="B11" s="0" t="s">
        <v>21</v>
      </c>
    </row>
    <row r="12" customFormat="false" ht="15" hidden="false" customHeight="false" outlineLevel="0" collapsed="false">
      <c r="B12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2026-06-05T08:31:41Z</dcterms:created>
  <dc:creator>openpyxl</dc:creator>
  <dc:description/>
  <dc:language>en-US</dc:language>
  <cp:lastModifiedBy/>
  <dcterms:modified xsi:type="dcterms:W3CDTF">2026-06-05T08:31:42Z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